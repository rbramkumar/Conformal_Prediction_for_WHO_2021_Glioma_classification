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bsd\11_radiomics_for_gliomas\02_train\trial_60\egd (1)\resources\PROJECT_DATA\"/>
    </mc:Choice>
  </mc:AlternateContent>
  <xr:revisionPtr revIDLastSave="0" documentId="13_ncr:1_{7E817096-3AB0-4F36-AA1C-291A7CF0A04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Sheet1!$A$1:$C$775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775" i="1" l="1"/>
  <c r="J775" i="1"/>
  <c r="I775" i="1"/>
  <c r="H775" i="1"/>
  <c r="G775" i="1"/>
  <c r="K774" i="1"/>
  <c r="J774" i="1"/>
  <c r="I774" i="1"/>
  <c r="H774" i="1"/>
  <c r="G774" i="1"/>
  <c r="K773" i="1"/>
  <c r="J773" i="1"/>
  <c r="I773" i="1"/>
  <c r="H773" i="1"/>
  <c r="G773" i="1"/>
  <c r="K772" i="1"/>
  <c r="J772" i="1"/>
  <c r="I772" i="1"/>
  <c r="H772" i="1"/>
  <c r="G772" i="1"/>
  <c r="K771" i="1"/>
  <c r="J771" i="1"/>
  <c r="I771" i="1"/>
  <c r="H771" i="1"/>
  <c r="G771" i="1"/>
  <c r="K770" i="1"/>
  <c r="J770" i="1"/>
  <c r="I770" i="1"/>
  <c r="H770" i="1"/>
  <c r="G770" i="1"/>
  <c r="K769" i="1"/>
  <c r="J769" i="1"/>
  <c r="I769" i="1"/>
  <c r="H769" i="1"/>
  <c r="G769" i="1"/>
  <c r="K768" i="1"/>
  <c r="J768" i="1"/>
  <c r="I768" i="1"/>
  <c r="H768" i="1"/>
  <c r="G768" i="1"/>
  <c r="K767" i="1"/>
  <c r="J767" i="1"/>
  <c r="I767" i="1"/>
  <c r="H767" i="1"/>
  <c r="G767" i="1"/>
  <c r="K766" i="1"/>
  <c r="J766" i="1"/>
  <c r="I766" i="1"/>
  <c r="H766" i="1"/>
  <c r="G766" i="1"/>
  <c r="K765" i="1"/>
  <c r="J765" i="1"/>
  <c r="I765" i="1"/>
  <c r="H765" i="1"/>
  <c r="G765" i="1"/>
  <c r="K764" i="1"/>
  <c r="J764" i="1"/>
  <c r="I764" i="1"/>
  <c r="H764" i="1"/>
  <c r="G764" i="1"/>
  <c r="K763" i="1"/>
  <c r="J763" i="1"/>
  <c r="I763" i="1"/>
  <c r="H763" i="1"/>
  <c r="G763" i="1"/>
  <c r="K762" i="1"/>
  <c r="J762" i="1"/>
  <c r="I762" i="1"/>
  <c r="H762" i="1"/>
  <c r="G762" i="1"/>
  <c r="K761" i="1"/>
  <c r="J761" i="1"/>
  <c r="I761" i="1"/>
  <c r="H761" i="1"/>
  <c r="G761" i="1"/>
  <c r="K760" i="1"/>
  <c r="J760" i="1"/>
  <c r="I760" i="1"/>
  <c r="H760" i="1"/>
  <c r="G760" i="1"/>
  <c r="K759" i="1"/>
  <c r="J759" i="1"/>
  <c r="I759" i="1"/>
  <c r="H759" i="1"/>
  <c r="G759" i="1"/>
  <c r="K758" i="1"/>
  <c r="J758" i="1"/>
  <c r="I758" i="1"/>
  <c r="H758" i="1"/>
  <c r="G758" i="1"/>
  <c r="K757" i="1"/>
  <c r="J757" i="1"/>
  <c r="I757" i="1"/>
  <c r="H757" i="1"/>
  <c r="G757" i="1"/>
  <c r="K756" i="1"/>
  <c r="J756" i="1"/>
  <c r="I756" i="1"/>
  <c r="H756" i="1"/>
  <c r="G756" i="1"/>
  <c r="K755" i="1"/>
  <c r="J755" i="1"/>
  <c r="I755" i="1"/>
  <c r="H755" i="1"/>
  <c r="G755" i="1"/>
  <c r="K754" i="1"/>
  <c r="J754" i="1"/>
  <c r="I754" i="1"/>
  <c r="H754" i="1"/>
  <c r="G754" i="1"/>
  <c r="K753" i="1"/>
  <c r="J753" i="1"/>
  <c r="I753" i="1"/>
  <c r="H753" i="1"/>
  <c r="G753" i="1"/>
  <c r="K752" i="1"/>
  <c r="J752" i="1"/>
  <c r="I752" i="1"/>
  <c r="H752" i="1"/>
  <c r="G752" i="1"/>
  <c r="K751" i="1"/>
  <c r="J751" i="1"/>
  <c r="I751" i="1"/>
  <c r="H751" i="1"/>
  <c r="G751" i="1"/>
  <c r="K750" i="1"/>
  <c r="J750" i="1"/>
  <c r="I750" i="1"/>
  <c r="H750" i="1"/>
  <c r="G750" i="1"/>
  <c r="K749" i="1"/>
  <c r="J749" i="1"/>
  <c r="I749" i="1"/>
  <c r="H749" i="1"/>
  <c r="G749" i="1"/>
  <c r="K748" i="1"/>
  <c r="J748" i="1"/>
  <c r="I748" i="1"/>
  <c r="H748" i="1"/>
  <c r="G748" i="1"/>
  <c r="K747" i="1"/>
  <c r="J747" i="1"/>
  <c r="I747" i="1"/>
  <c r="H747" i="1"/>
  <c r="G747" i="1"/>
  <c r="K746" i="1"/>
  <c r="J746" i="1"/>
  <c r="I746" i="1"/>
  <c r="H746" i="1"/>
  <c r="G746" i="1"/>
  <c r="K745" i="1"/>
  <c r="J745" i="1"/>
  <c r="I745" i="1"/>
  <c r="H745" i="1"/>
  <c r="G745" i="1"/>
  <c r="K744" i="1"/>
  <c r="J744" i="1"/>
  <c r="I744" i="1"/>
  <c r="H744" i="1"/>
  <c r="G744" i="1"/>
  <c r="K743" i="1"/>
  <c r="J743" i="1"/>
  <c r="I743" i="1"/>
  <c r="H743" i="1"/>
  <c r="G743" i="1"/>
  <c r="K742" i="1"/>
  <c r="J742" i="1"/>
  <c r="I742" i="1"/>
  <c r="H742" i="1"/>
  <c r="G742" i="1"/>
  <c r="K741" i="1"/>
  <c r="J741" i="1"/>
  <c r="I741" i="1"/>
  <c r="H741" i="1"/>
  <c r="G741" i="1"/>
  <c r="K740" i="1"/>
  <c r="J740" i="1"/>
  <c r="I740" i="1"/>
  <c r="H740" i="1"/>
  <c r="G740" i="1"/>
  <c r="K739" i="1"/>
  <c r="J739" i="1"/>
  <c r="I739" i="1"/>
  <c r="H739" i="1"/>
  <c r="G739" i="1"/>
  <c r="K738" i="1"/>
  <c r="J738" i="1"/>
  <c r="I738" i="1"/>
  <c r="H738" i="1"/>
  <c r="G738" i="1"/>
  <c r="K737" i="1"/>
  <c r="J737" i="1"/>
  <c r="I737" i="1"/>
  <c r="H737" i="1"/>
  <c r="G737" i="1"/>
  <c r="K736" i="1"/>
  <c r="J736" i="1"/>
  <c r="I736" i="1"/>
  <c r="H736" i="1"/>
  <c r="G736" i="1"/>
  <c r="K735" i="1"/>
  <c r="J735" i="1"/>
  <c r="I735" i="1"/>
  <c r="H735" i="1"/>
  <c r="G735" i="1"/>
  <c r="K734" i="1"/>
  <c r="J734" i="1"/>
  <c r="I734" i="1"/>
  <c r="H734" i="1"/>
  <c r="G734" i="1"/>
  <c r="K733" i="1"/>
  <c r="J733" i="1"/>
  <c r="I733" i="1"/>
  <c r="H733" i="1"/>
  <c r="G733" i="1"/>
  <c r="K732" i="1"/>
  <c r="J732" i="1"/>
  <c r="I732" i="1"/>
  <c r="H732" i="1"/>
  <c r="G732" i="1"/>
  <c r="K731" i="1"/>
  <c r="J731" i="1"/>
  <c r="I731" i="1"/>
  <c r="H731" i="1"/>
  <c r="G731" i="1"/>
  <c r="K730" i="1"/>
  <c r="J730" i="1"/>
  <c r="I730" i="1"/>
  <c r="H730" i="1"/>
  <c r="G730" i="1"/>
  <c r="K729" i="1"/>
  <c r="J729" i="1"/>
  <c r="I729" i="1"/>
  <c r="H729" i="1"/>
  <c r="G729" i="1"/>
  <c r="K728" i="1"/>
  <c r="J728" i="1"/>
  <c r="I728" i="1"/>
  <c r="H728" i="1"/>
  <c r="G728" i="1"/>
  <c r="K727" i="1"/>
  <c r="J727" i="1"/>
  <c r="I727" i="1"/>
  <c r="H727" i="1"/>
  <c r="G727" i="1"/>
  <c r="K726" i="1"/>
  <c r="J726" i="1"/>
  <c r="I726" i="1"/>
  <c r="H726" i="1"/>
  <c r="G726" i="1"/>
  <c r="K725" i="1"/>
  <c r="J725" i="1"/>
  <c r="I725" i="1"/>
  <c r="H725" i="1"/>
  <c r="G725" i="1"/>
  <c r="K724" i="1"/>
  <c r="J724" i="1"/>
  <c r="I724" i="1"/>
  <c r="H724" i="1"/>
  <c r="G724" i="1"/>
  <c r="K723" i="1"/>
  <c r="J723" i="1"/>
  <c r="I723" i="1"/>
  <c r="H723" i="1"/>
  <c r="G723" i="1"/>
  <c r="K722" i="1"/>
  <c r="J722" i="1"/>
  <c r="I722" i="1"/>
  <c r="H722" i="1"/>
  <c r="G722" i="1"/>
  <c r="K721" i="1"/>
  <c r="J721" i="1"/>
  <c r="I721" i="1"/>
  <c r="H721" i="1"/>
  <c r="G721" i="1"/>
  <c r="K720" i="1"/>
  <c r="J720" i="1"/>
  <c r="I720" i="1"/>
  <c r="H720" i="1"/>
  <c r="G720" i="1"/>
  <c r="K719" i="1"/>
  <c r="J719" i="1"/>
  <c r="I719" i="1"/>
  <c r="H719" i="1"/>
  <c r="G719" i="1"/>
  <c r="K718" i="1"/>
  <c r="J718" i="1"/>
  <c r="I718" i="1"/>
  <c r="H718" i="1"/>
  <c r="G718" i="1"/>
  <c r="K717" i="1"/>
  <c r="J717" i="1"/>
  <c r="I717" i="1"/>
  <c r="H717" i="1"/>
  <c r="G717" i="1"/>
  <c r="K716" i="1"/>
  <c r="J716" i="1"/>
  <c r="I716" i="1"/>
  <c r="H716" i="1"/>
  <c r="G716" i="1"/>
  <c r="K715" i="1"/>
  <c r="J715" i="1"/>
  <c r="I715" i="1"/>
  <c r="H715" i="1"/>
  <c r="G715" i="1"/>
  <c r="K714" i="1"/>
  <c r="J714" i="1"/>
  <c r="I714" i="1"/>
  <c r="H714" i="1"/>
  <c r="G714" i="1"/>
  <c r="K713" i="1"/>
  <c r="J713" i="1"/>
  <c r="I713" i="1"/>
  <c r="H713" i="1"/>
  <c r="G713" i="1"/>
  <c r="K712" i="1"/>
  <c r="J712" i="1"/>
  <c r="I712" i="1"/>
  <c r="H712" i="1"/>
  <c r="G712" i="1"/>
  <c r="K711" i="1"/>
  <c r="J711" i="1"/>
  <c r="I711" i="1"/>
  <c r="H711" i="1"/>
  <c r="G711" i="1"/>
  <c r="K710" i="1"/>
  <c r="J710" i="1"/>
  <c r="I710" i="1"/>
  <c r="H710" i="1"/>
  <c r="G710" i="1"/>
  <c r="K709" i="1"/>
  <c r="J709" i="1"/>
  <c r="I709" i="1"/>
  <c r="H709" i="1"/>
  <c r="G709" i="1"/>
  <c r="K708" i="1"/>
  <c r="J708" i="1"/>
  <c r="I708" i="1"/>
  <c r="H708" i="1"/>
  <c r="G708" i="1"/>
  <c r="K707" i="1"/>
  <c r="J707" i="1"/>
  <c r="I707" i="1"/>
  <c r="H707" i="1"/>
  <c r="G707" i="1"/>
  <c r="K706" i="1"/>
  <c r="J706" i="1"/>
  <c r="I706" i="1"/>
  <c r="H706" i="1"/>
  <c r="G706" i="1"/>
  <c r="K705" i="1"/>
  <c r="J705" i="1"/>
  <c r="I705" i="1"/>
  <c r="H705" i="1"/>
  <c r="G705" i="1"/>
  <c r="K704" i="1"/>
  <c r="J704" i="1"/>
  <c r="I704" i="1"/>
  <c r="H704" i="1"/>
  <c r="G704" i="1"/>
  <c r="K703" i="1"/>
  <c r="J703" i="1"/>
  <c r="I703" i="1"/>
  <c r="H703" i="1"/>
  <c r="G703" i="1"/>
  <c r="K702" i="1"/>
  <c r="J702" i="1"/>
  <c r="I702" i="1"/>
  <c r="H702" i="1"/>
  <c r="G702" i="1"/>
  <c r="K701" i="1"/>
  <c r="J701" i="1"/>
  <c r="I701" i="1"/>
  <c r="H701" i="1"/>
  <c r="G701" i="1"/>
  <c r="K700" i="1"/>
  <c r="J700" i="1"/>
  <c r="I700" i="1"/>
  <c r="H700" i="1"/>
  <c r="G700" i="1"/>
  <c r="K699" i="1"/>
  <c r="J699" i="1"/>
  <c r="I699" i="1"/>
  <c r="H699" i="1"/>
  <c r="G699" i="1"/>
  <c r="K698" i="1"/>
  <c r="J698" i="1"/>
  <c r="I698" i="1"/>
  <c r="H698" i="1"/>
  <c r="G698" i="1"/>
  <c r="K697" i="1"/>
  <c r="J697" i="1"/>
  <c r="I697" i="1"/>
  <c r="H697" i="1"/>
  <c r="G697" i="1"/>
  <c r="K696" i="1"/>
  <c r="J696" i="1"/>
  <c r="I696" i="1"/>
  <c r="H696" i="1"/>
  <c r="G696" i="1"/>
  <c r="K695" i="1"/>
  <c r="J695" i="1"/>
  <c r="I695" i="1"/>
  <c r="H695" i="1"/>
  <c r="G695" i="1"/>
  <c r="K694" i="1"/>
  <c r="J694" i="1"/>
  <c r="I694" i="1"/>
  <c r="H694" i="1"/>
  <c r="G694" i="1"/>
  <c r="K693" i="1"/>
  <c r="J693" i="1"/>
  <c r="I693" i="1"/>
  <c r="H693" i="1"/>
  <c r="G693" i="1"/>
  <c r="K692" i="1"/>
  <c r="J692" i="1"/>
  <c r="I692" i="1"/>
  <c r="H692" i="1"/>
  <c r="G692" i="1"/>
  <c r="K691" i="1"/>
  <c r="J691" i="1"/>
  <c r="I691" i="1"/>
  <c r="H691" i="1"/>
  <c r="G691" i="1"/>
  <c r="K690" i="1"/>
  <c r="J690" i="1"/>
  <c r="I690" i="1"/>
  <c r="H690" i="1"/>
  <c r="G690" i="1"/>
  <c r="K689" i="1"/>
  <c r="J689" i="1"/>
  <c r="I689" i="1"/>
  <c r="H689" i="1"/>
  <c r="G689" i="1"/>
  <c r="K688" i="1"/>
  <c r="J688" i="1"/>
  <c r="I688" i="1"/>
  <c r="H688" i="1"/>
  <c r="G688" i="1"/>
  <c r="K687" i="1"/>
  <c r="J687" i="1"/>
  <c r="I687" i="1"/>
  <c r="H687" i="1"/>
  <c r="G687" i="1"/>
  <c r="K686" i="1"/>
  <c r="J686" i="1"/>
  <c r="I686" i="1"/>
  <c r="H686" i="1"/>
  <c r="G686" i="1"/>
  <c r="K685" i="1"/>
  <c r="J685" i="1"/>
  <c r="I685" i="1"/>
  <c r="H685" i="1"/>
  <c r="G685" i="1"/>
  <c r="K684" i="1"/>
  <c r="J684" i="1"/>
  <c r="I684" i="1"/>
  <c r="H684" i="1"/>
  <c r="G684" i="1"/>
  <c r="K683" i="1"/>
  <c r="J683" i="1"/>
  <c r="I683" i="1"/>
  <c r="H683" i="1"/>
  <c r="G683" i="1"/>
  <c r="K682" i="1"/>
  <c r="J682" i="1"/>
  <c r="I682" i="1"/>
  <c r="H682" i="1"/>
  <c r="G682" i="1"/>
  <c r="K681" i="1"/>
  <c r="J681" i="1"/>
  <c r="I681" i="1"/>
  <c r="H681" i="1"/>
  <c r="G681" i="1"/>
  <c r="K680" i="1"/>
  <c r="J680" i="1"/>
  <c r="I680" i="1"/>
  <c r="H680" i="1"/>
  <c r="G680" i="1"/>
  <c r="K679" i="1"/>
  <c r="J679" i="1"/>
  <c r="I679" i="1"/>
  <c r="H679" i="1"/>
  <c r="G679" i="1"/>
  <c r="K678" i="1"/>
  <c r="J678" i="1"/>
  <c r="I678" i="1"/>
  <c r="H678" i="1"/>
  <c r="G678" i="1"/>
  <c r="K677" i="1"/>
  <c r="J677" i="1"/>
  <c r="I677" i="1"/>
  <c r="H677" i="1"/>
  <c r="G677" i="1"/>
  <c r="K676" i="1"/>
  <c r="J676" i="1"/>
  <c r="I676" i="1"/>
  <c r="H676" i="1"/>
  <c r="G676" i="1"/>
  <c r="K675" i="1"/>
  <c r="J675" i="1"/>
  <c r="I675" i="1"/>
  <c r="H675" i="1"/>
  <c r="G675" i="1"/>
  <c r="K674" i="1"/>
  <c r="J674" i="1"/>
  <c r="I674" i="1"/>
  <c r="H674" i="1"/>
  <c r="G674" i="1"/>
  <c r="K673" i="1"/>
  <c r="J673" i="1"/>
  <c r="I673" i="1"/>
  <c r="H673" i="1"/>
  <c r="G673" i="1"/>
  <c r="K672" i="1"/>
  <c r="J672" i="1"/>
  <c r="I672" i="1"/>
  <c r="H672" i="1"/>
  <c r="G672" i="1"/>
  <c r="K671" i="1"/>
  <c r="J671" i="1"/>
  <c r="I671" i="1"/>
  <c r="H671" i="1"/>
  <c r="G671" i="1"/>
  <c r="K670" i="1"/>
  <c r="J670" i="1"/>
  <c r="I670" i="1"/>
  <c r="H670" i="1"/>
  <c r="G670" i="1"/>
  <c r="K669" i="1"/>
  <c r="J669" i="1"/>
  <c r="I669" i="1"/>
  <c r="H669" i="1"/>
  <c r="G669" i="1"/>
  <c r="K668" i="1"/>
  <c r="J668" i="1"/>
  <c r="I668" i="1"/>
  <c r="H668" i="1"/>
  <c r="G668" i="1"/>
  <c r="K667" i="1"/>
  <c r="J667" i="1"/>
  <c r="I667" i="1"/>
  <c r="H667" i="1"/>
  <c r="G667" i="1"/>
  <c r="K666" i="1"/>
  <c r="J666" i="1"/>
  <c r="I666" i="1"/>
  <c r="H666" i="1"/>
  <c r="G666" i="1"/>
  <c r="K665" i="1"/>
  <c r="J665" i="1"/>
  <c r="I665" i="1"/>
  <c r="H665" i="1"/>
  <c r="G665" i="1"/>
  <c r="K664" i="1"/>
  <c r="J664" i="1"/>
  <c r="I664" i="1"/>
  <c r="H664" i="1"/>
  <c r="G664" i="1"/>
  <c r="K663" i="1"/>
  <c r="J663" i="1"/>
  <c r="I663" i="1"/>
  <c r="H663" i="1"/>
  <c r="G663" i="1"/>
  <c r="K662" i="1"/>
  <c r="J662" i="1"/>
  <c r="I662" i="1"/>
  <c r="H662" i="1"/>
  <c r="G662" i="1"/>
  <c r="K661" i="1"/>
  <c r="J661" i="1"/>
  <c r="I661" i="1"/>
  <c r="H661" i="1"/>
  <c r="G661" i="1"/>
  <c r="K660" i="1"/>
  <c r="J660" i="1"/>
  <c r="I660" i="1"/>
  <c r="H660" i="1"/>
  <c r="G660" i="1"/>
  <c r="K659" i="1"/>
  <c r="J659" i="1"/>
  <c r="I659" i="1"/>
  <c r="H659" i="1"/>
  <c r="G659" i="1"/>
  <c r="K658" i="1"/>
  <c r="J658" i="1"/>
  <c r="I658" i="1"/>
  <c r="H658" i="1"/>
  <c r="G658" i="1"/>
  <c r="K657" i="1"/>
  <c r="J657" i="1"/>
  <c r="I657" i="1"/>
  <c r="H657" i="1"/>
  <c r="G657" i="1"/>
  <c r="K656" i="1"/>
  <c r="J656" i="1"/>
  <c r="I656" i="1"/>
  <c r="H656" i="1"/>
  <c r="G656" i="1"/>
  <c r="K655" i="1"/>
  <c r="J655" i="1"/>
  <c r="I655" i="1"/>
  <c r="H655" i="1"/>
  <c r="G655" i="1"/>
  <c r="K654" i="1"/>
  <c r="J654" i="1"/>
  <c r="I654" i="1"/>
  <c r="H654" i="1"/>
  <c r="G654" i="1"/>
  <c r="K653" i="1"/>
  <c r="J653" i="1"/>
  <c r="I653" i="1"/>
  <c r="H653" i="1"/>
  <c r="G653" i="1"/>
  <c r="K652" i="1"/>
  <c r="J652" i="1"/>
  <c r="I652" i="1"/>
  <c r="H652" i="1"/>
  <c r="G652" i="1"/>
  <c r="K651" i="1"/>
  <c r="J651" i="1"/>
  <c r="I651" i="1"/>
  <c r="H651" i="1"/>
  <c r="G651" i="1"/>
  <c r="K650" i="1"/>
  <c r="J650" i="1"/>
  <c r="I650" i="1"/>
  <c r="H650" i="1"/>
  <c r="G650" i="1"/>
  <c r="K649" i="1"/>
  <c r="J649" i="1"/>
  <c r="I649" i="1"/>
  <c r="H649" i="1"/>
  <c r="G649" i="1"/>
  <c r="K648" i="1"/>
  <c r="J648" i="1"/>
  <c r="I648" i="1"/>
  <c r="H648" i="1"/>
  <c r="G648" i="1"/>
  <c r="K647" i="1"/>
  <c r="J647" i="1"/>
  <c r="I647" i="1"/>
  <c r="H647" i="1"/>
  <c r="G647" i="1"/>
  <c r="K646" i="1"/>
  <c r="J646" i="1"/>
  <c r="I646" i="1"/>
  <c r="H646" i="1"/>
  <c r="G646" i="1"/>
  <c r="K645" i="1"/>
  <c r="J645" i="1"/>
  <c r="I645" i="1"/>
  <c r="H645" i="1"/>
  <c r="G645" i="1"/>
  <c r="K644" i="1"/>
  <c r="J644" i="1"/>
  <c r="I644" i="1"/>
  <c r="H644" i="1"/>
  <c r="G644" i="1"/>
  <c r="K643" i="1"/>
  <c r="J643" i="1"/>
  <c r="I643" i="1"/>
  <c r="H643" i="1"/>
  <c r="G643" i="1"/>
  <c r="K642" i="1"/>
  <c r="J642" i="1"/>
  <c r="I642" i="1"/>
  <c r="H642" i="1"/>
  <c r="G642" i="1"/>
  <c r="K641" i="1"/>
  <c r="J641" i="1"/>
  <c r="I641" i="1"/>
  <c r="H641" i="1"/>
  <c r="G641" i="1"/>
  <c r="K640" i="1"/>
  <c r="J640" i="1"/>
  <c r="I640" i="1"/>
  <c r="H640" i="1"/>
  <c r="G640" i="1"/>
  <c r="K639" i="1"/>
  <c r="J639" i="1"/>
  <c r="I639" i="1"/>
  <c r="H639" i="1"/>
  <c r="G639" i="1"/>
  <c r="K638" i="1"/>
  <c r="J638" i="1"/>
  <c r="I638" i="1"/>
  <c r="H638" i="1"/>
  <c r="G638" i="1"/>
  <c r="K637" i="1"/>
  <c r="J637" i="1"/>
  <c r="I637" i="1"/>
  <c r="H637" i="1"/>
  <c r="G637" i="1"/>
  <c r="K636" i="1"/>
  <c r="J636" i="1"/>
  <c r="I636" i="1"/>
  <c r="H636" i="1"/>
  <c r="G636" i="1"/>
  <c r="K635" i="1"/>
  <c r="J635" i="1"/>
  <c r="I635" i="1"/>
  <c r="H635" i="1"/>
  <c r="G635" i="1"/>
  <c r="K634" i="1"/>
  <c r="J634" i="1"/>
  <c r="I634" i="1"/>
  <c r="H634" i="1"/>
  <c r="G634" i="1"/>
  <c r="K633" i="1"/>
  <c r="J633" i="1"/>
  <c r="I633" i="1"/>
  <c r="H633" i="1"/>
  <c r="G633" i="1"/>
  <c r="K632" i="1"/>
  <c r="J632" i="1"/>
  <c r="I632" i="1"/>
  <c r="H632" i="1"/>
  <c r="G632" i="1"/>
  <c r="K631" i="1"/>
  <c r="J631" i="1"/>
  <c r="I631" i="1"/>
  <c r="H631" i="1"/>
  <c r="G631" i="1"/>
  <c r="K630" i="1"/>
  <c r="J630" i="1"/>
  <c r="I630" i="1"/>
  <c r="H630" i="1"/>
  <c r="G630" i="1"/>
  <c r="K629" i="1"/>
  <c r="J629" i="1"/>
  <c r="I629" i="1"/>
  <c r="H629" i="1"/>
  <c r="G629" i="1"/>
  <c r="K628" i="1"/>
  <c r="J628" i="1"/>
  <c r="I628" i="1"/>
  <c r="H628" i="1"/>
  <c r="G628" i="1"/>
  <c r="K627" i="1"/>
  <c r="J627" i="1"/>
  <c r="I627" i="1"/>
  <c r="H627" i="1"/>
  <c r="G627" i="1"/>
  <c r="K626" i="1"/>
  <c r="J626" i="1"/>
  <c r="I626" i="1"/>
  <c r="H626" i="1"/>
  <c r="G626" i="1"/>
  <c r="K625" i="1"/>
  <c r="J625" i="1"/>
  <c r="I625" i="1"/>
  <c r="H625" i="1"/>
  <c r="G625" i="1"/>
  <c r="K624" i="1"/>
  <c r="J624" i="1"/>
  <c r="I624" i="1"/>
  <c r="H624" i="1"/>
  <c r="G624" i="1"/>
  <c r="K623" i="1"/>
  <c r="J623" i="1"/>
  <c r="I623" i="1"/>
  <c r="H623" i="1"/>
  <c r="G623" i="1"/>
  <c r="K622" i="1"/>
  <c r="J622" i="1"/>
  <c r="I622" i="1"/>
  <c r="H622" i="1"/>
  <c r="G622" i="1"/>
  <c r="K621" i="1"/>
  <c r="J621" i="1"/>
  <c r="I621" i="1"/>
  <c r="H621" i="1"/>
  <c r="G621" i="1"/>
  <c r="K620" i="1"/>
  <c r="J620" i="1"/>
  <c r="I620" i="1"/>
  <c r="H620" i="1"/>
  <c r="G620" i="1"/>
  <c r="K619" i="1"/>
  <c r="J619" i="1"/>
  <c r="I619" i="1"/>
  <c r="H619" i="1"/>
  <c r="G619" i="1"/>
  <c r="K618" i="1"/>
  <c r="J618" i="1"/>
  <c r="I618" i="1"/>
  <c r="H618" i="1"/>
  <c r="G618" i="1"/>
  <c r="K617" i="1"/>
  <c r="J617" i="1"/>
  <c r="I617" i="1"/>
  <c r="H617" i="1"/>
  <c r="G617" i="1"/>
  <c r="K616" i="1"/>
  <c r="J616" i="1"/>
  <c r="I616" i="1"/>
  <c r="H616" i="1"/>
  <c r="G616" i="1"/>
  <c r="K615" i="1"/>
  <c r="J615" i="1"/>
  <c r="I615" i="1"/>
  <c r="H615" i="1"/>
  <c r="G615" i="1"/>
  <c r="K614" i="1"/>
  <c r="J614" i="1"/>
  <c r="I614" i="1"/>
  <c r="H614" i="1"/>
  <c r="G614" i="1"/>
  <c r="K613" i="1"/>
  <c r="J613" i="1"/>
  <c r="I613" i="1"/>
  <c r="H613" i="1"/>
  <c r="G613" i="1"/>
  <c r="K612" i="1"/>
  <c r="J612" i="1"/>
  <c r="I612" i="1"/>
  <c r="H612" i="1"/>
  <c r="G612" i="1"/>
  <c r="K611" i="1"/>
  <c r="J611" i="1"/>
  <c r="I611" i="1"/>
  <c r="H611" i="1"/>
  <c r="G611" i="1"/>
  <c r="K610" i="1"/>
  <c r="J610" i="1"/>
  <c r="I610" i="1"/>
  <c r="H610" i="1"/>
  <c r="G610" i="1"/>
  <c r="K609" i="1"/>
  <c r="J609" i="1"/>
  <c r="I609" i="1"/>
  <c r="H609" i="1"/>
  <c r="G609" i="1"/>
  <c r="K608" i="1"/>
  <c r="J608" i="1"/>
  <c r="I608" i="1"/>
  <c r="H608" i="1"/>
  <c r="G608" i="1"/>
  <c r="K607" i="1"/>
  <c r="J607" i="1"/>
  <c r="I607" i="1"/>
  <c r="H607" i="1"/>
  <c r="G607" i="1"/>
  <c r="K606" i="1"/>
  <c r="J606" i="1"/>
  <c r="I606" i="1"/>
  <c r="H606" i="1"/>
  <c r="G606" i="1"/>
  <c r="K605" i="1"/>
  <c r="J605" i="1"/>
  <c r="I605" i="1"/>
  <c r="H605" i="1"/>
  <c r="G605" i="1"/>
  <c r="K604" i="1"/>
  <c r="J604" i="1"/>
  <c r="I604" i="1"/>
  <c r="H604" i="1"/>
  <c r="G604" i="1"/>
  <c r="K603" i="1"/>
  <c r="J603" i="1"/>
  <c r="I603" i="1"/>
  <c r="H603" i="1"/>
  <c r="G603" i="1"/>
  <c r="K602" i="1"/>
  <c r="J602" i="1"/>
  <c r="I602" i="1"/>
  <c r="H602" i="1"/>
  <c r="G602" i="1"/>
  <c r="K601" i="1"/>
  <c r="J601" i="1"/>
  <c r="I601" i="1"/>
  <c r="H601" i="1"/>
  <c r="G601" i="1"/>
  <c r="K600" i="1"/>
  <c r="J600" i="1"/>
  <c r="I600" i="1"/>
  <c r="H600" i="1"/>
  <c r="G600" i="1"/>
  <c r="K599" i="1"/>
  <c r="J599" i="1"/>
  <c r="I599" i="1"/>
  <c r="H599" i="1"/>
  <c r="G599" i="1"/>
  <c r="K598" i="1"/>
  <c r="J598" i="1"/>
  <c r="I598" i="1"/>
  <c r="H598" i="1"/>
  <c r="G598" i="1"/>
  <c r="K597" i="1"/>
  <c r="J597" i="1"/>
  <c r="I597" i="1"/>
  <c r="H597" i="1"/>
  <c r="G597" i="1"/>
  <c r="K596" i="1"/>
  <c r="J596" i="1"/>
  <c r="I596" i="1"/>
  <c r="H596" i="1"/>
  <c r="G596" i="1"/>
  <c r="K595" i="1"/>
  <c r="J595" i="1"/>
  <c r="I595" i="1"/>
  <c r="H595" i="1"/>
  <c r="G595" i="1"/>
  <c r="K594" i="1"/>
  <c r="J594" i="1"/>
  <c r="I594" i="1"/>
  <c r="H594" i="1"/>
  <c r="G594" i="1"/>
  <c r="K593" i="1"/>
  <c r="J593" i="1"/>
  <c r="I593" i="1"/>
  <c r="H593" i="1"/>
  <c r="G593" i="1"/>
  <c r="K592" i="1"/>
  <c r="J592" i="1"/>
  <c r="I592" i="1"/>
  <c r="H592" i="1"/>
  <c r="G592" i="1"/>
  <c r="K591" i="1"/>
  <c r="J591" i="1"/>
  <c r="I591" i="1"/>
  <c r="H591" i="1"/>
  <c r="G591" i="1"/>
  <c r="K590" i="1"/>
  <c r="J590" i="1"/>
  <c r="I590" i="1"/>
  <c r="H590" i="1"/>
  <c r="G590" i="1"/>
  <c r="K589" i="1"/>
  <c r="J589" i="1"/>
  <c r="I589" i="1"/>
  <c r="H589" i="1"/>
  <c r="G589" i="1"/>
  <c r="K588" i="1"/>
  <c r="J588" i="1"/>
  <c r="I588" i="1"/>
  <c r="H588" i="1"/>
  <c r="G588" i="1"/>
  <c r="K587" i="1"/>
  <c r="J587" i="1"/>
  <c r="I587" i="1"/>
  <c r="H587" i="1"/>
  <c r="G587" i="1"/>
  <c r="K586" i="1"/>
  <c r="J586" i="1"/>
  <c r="I586" i="1"/>
  <c r="H586" i="1"/>
  <c r="G586" i="1"/>
  <c r="K585" i="1"/>
  <c r="J585" i="1"/>
  <c r="I585" i="1"/>
  <c r="H585" i="1"/>
  <c r="G585" i="1"/>
  <c r="K584" i="1"/>
  <c r="J584" i="1"/>
  <c r="I584" i="1"/>
  <c r="H584" i="1"/>
  <c r="G584" i="1"/>
  <c r="K583" i="1"/>
  <c r="J583" i="1"/>
  <c r="I583" i="1"/>
  <c r="H583" i="1"/>
  <c r="G583" i="1"/>
  <c r="K582" i="1"/>
  <c r="J582" i="1"/>
  <c r="I582" i="1"/>
  <c r="H582" i="1"/>
  <c r="G582" i="1"/>
  <c r="K581" i="1"/>
  <c r="J581" i="1"/>
  <c r="I581" i="1"/>
  <c r="H581" i="1"/>
  <c r="G581" i="1"/>
  <c r="K580" i="1"/>
  <c r="J580" i="1"/>
  <c r="I580" i="1"/>
  <c r="H580" i="1"/>
  <c r="G580" i="1"/>
  <c r="K579" i="1"/>
  <c r="J579" i="1"/>
  <c r="I579" i="1"/>
  <c r="H579" i="1"/>
  <c r="G579" i="1"/>
  <c r="K578" i="1"/>
  <c r="J578" i="1"/>
  <c r="I578" i="1"/>
  <c r="H578" i="1"/>
  <c r="G578" i="1"/>
  <c r="K577" i="1"/>
  <c r="J577" i="1"/>
  <c r="I577" i="1"/>
  <c r="H577" i="1"/>
  <c r="G577" i="1"/>
  <c r="K576" i="1"/>
  <c r="J576" i="1"/>
  <c r="I576" i="1"/>
  <c r="H576" i="1"/>
  <c r="G576" i="1"/>
  <c r="K575" i="1"/>
  <c r="J575" i="1"/>
  <c r="I575" i="1"/>
  <c r="H575" i="1"/>
  <c r="G575" i="1"/>
  <c r="K574" i="1"/>
  <c r="J574" i="1"/>
  <c r="I574" i="1"/>
  <c r="H574" i="1"/>
  <c r="G574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566" i="1"/>
  <c r="J566" i="1"/>
  <c r="I566" i="1"/>
  <c r="H566" i="1"/>
  <c r="G566" i="1"/>
  <c r="K565" i="1"/>
  <c r="J565" i="1"/>
  <c r="I565" i="1"/>
  <c r="H565" i="1"/>
  <c r="G565" i="1"/>
  <c r="K564" i="1"/>
  <c r="J564" i="1"/>
  <c r="I564" i="1"/>
  <c r="H564" i="1"/>
  <c r="G564" i="1"/>
  <c r="K563" i="1"/>
  <c r="J563" i="1"/>
  <c r="I563" i="1"/>
  <c r="H563" i="1"/>
  <c r="G563" i="1"/>
  <c r="K562" i="1"/>
  <c r="J562" i="1"/>
  <c r="I562" i="1"/>
  <c r="H562" i="1"/>
  <c r="G562" i="1"/>
  <c r="K561" i="1"/>
  <c r="J561" i="1"/>
  <c r="I561" i="1"/>
  <c r="H561" i="1"/>
  <c r="G561" i="1"/>
  <c r="K560" i="1"/>
  <c r="J560" i="1"/>
  <c r="I560" i="1"/>
  <c r="H560" i="1"/>
  <c r="G560" i="1"/>
  <c r="K559" i="1"/>
  <c r="J559" i="1"/>
  <c r="I559" i="1"/>
  <c r="H559" i="1"/>
  <c r="G559" i="1"/>
  <c r="K558" i="1"/>
  <c r="J558" i="1"/>
  <c r="I558" i="1"/>
  <c r="H558" i="1"/>
  <c r="G558" i="1"/>
  <c r="K557" i="1"/>
  <c r="J557" i="1"/>
  <c r="I557" i="1"/>
  <c r="H557" i="1"/>
  <c r="G557" i="1"/>
  <c r="K556" i="1"/>
  <c r="J556" i="1"/>
  <c r="I556" i="1"/>
  <c r="H556" i="1"/>
  <c r="G556" i="1"/>
  <c r="K555" i="1"/>
  <c r="J555" i="1"/>
  <c r="I555" i="1"/>
  <c r="H555" i="1"/>
  <c r="G555" i="1"/>
  <c r="K554" i="1"/>
  <c r="J554" i="1"/>
  <c r="I554" i="1"/>
  <c r="H554" i="1"/>
  <c r="G554" i="1"/>
  <c r="K553" i="1"/>
  <c r="J553" i="1"/>
  <c r="I553" i="1"/>
  <c r="H553" i="1"/>
  <c r="G553" i="1"/>
  <c r="K552" i="1"/>
  <c r="J552" i="1"/>
  <c r="I552" i="1"/>
  <c r="H552" i="1"/>
  <c r="G552" i="1"/>
  <c r="K551" i="1"/>
  <c r="J551" i="1"/>
  <c r="I551" i="1"/>
  <c r="H551" i="1"/>
  <c r="G551" i="1"/>
  <c r="K550" i="1"/>
  <c r="J550" i="1"/>
  <c r="I550" i="1"/>
  <c r="H550" i="1"/>
  <c r="G550" i="1"/>
  <c r="K549" i="1"/>
  <c r="J549" i="1"/>
  <c r="I549" i="1"/>
  <c r="H549" i="1"/>
  <c r="G549" i="1"/>
  <c r="K548" i="1"/>
  <c r="J548" i="1"/>
  <c r="I548" i="1"/>
  <c r="H548" i="1"/>
  <c r="G548" i="1"/>
  <c r="K547" i="1"/>
  <c r="J547" i="1"/>
  <c r="I547" i="1"/>
  <c r="H547" i="1"/>
  <c r="G547" i="1"/>
  <c r="K546" i="1"/>
  <c r="J546" i="1"/>
  <c r="I546" i="1"/>
  <c r="H546" i="1"/>
  <c r="G546" i="1"/>
  <c r="K545" i="1"/>
  <c r="J545" i="1"/>
  <c r="I545" i="1"/>
  <c r="H545" i="1"/>
  <c r="G545" i="1"/>
  <c r="K544" i="1"/>
  <c r="J544" i="1"/>
  <c r="I544" i="1"/>
  <c r="H544" i="1"/>
  <c r="G544" i="1"/>
  <c r="K543" i="1"/>
  <c r="J543" i="1"/>
  <c r="I543" i="1"/>
  <c r="H543" i="1"/>
  <c r="G543" i="1"/>
  <c r="K542" i="1"/>
  <c r="J542" i="1"/>
  <c r="I542" i="1"/>
  <c r="H542" i="1"/>
  <c r="G542" i="1"/>
  <c r="K541" i="1"/>
  <c r="J541" i="1"/>
  <c r="I541" i="1"/>
  <c r="H541" i="1"/>
  <c r="G541" i="1"/>
  <c r="K540" i="1"/>
  <c r="J540" i="1"/>
  <c r="I540" i="1"/>
  <c r="H540" i="1"/>
  <c r="G540" i="1"/>
  <c r="K539" i="1"/>
  <c r="J539" i="1"/>
  <c r="I539" i="1"/>
  <c r="H539" i="1"/>
  <c r="G539" i="1"/>
  <c r="K538" i="1"/>
  <c r="J538" i="1"/>
  <c r="I538" i="1"/>
  <c r="H538" i="1"/>
  <c r="G538" i="1"/>
  <c r="K537" i="1"/>
  <c r="J537" i="1"/>
  <c r="I537" i="1"/>
  <c r="H537" i="1"/>
  <c r="G537" i="1"/>
  <c r="K536" i="1"/>
  <c r="J536" i="1"/>
  <c r="I536" i="1"/>
  <c r="H536" i="1"/>
  <c r="G536" i="1"/>
  <c r="K535" i="1"/>
  <c r="J535" i="1"/>
  <c r="I535" i="1"/>
  <c r="H535" i="1"/>
  <c r="G535" i="1"/>
  <c r="K534" i="1"/>
  <c r="J534" i="1"/>
  <c r="I534" i="1"/>
  <c r="H534" i="1"/>
  <c r="G534" i="1"/>
  <c r="K533" i="1"/>
  <c r="J533" i="1"/>
  <c r="I533" i="1"/>
  <c r="H533" i="1"/>
  <c r="G533" i="1"/>
  <c r="K532" i="1"/>
  <c r="J532" i="1"/>
  <c r="I532" i="1"/>
  <c r="H532" i="1"/>
  <c r="G532" i="1"/>
  <c r="K531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8" i="1"/>
  <c r="J528" i="1"/>
  <c r="I528" i="1"/>
  <c r="H528" i="1"/>
  <c r="G528" i="1"/>
  <c r="K527" i="1"/>
  <c r="J527" i="1"/>
  <c r="I527" i="1"/>
  <c r="H527" i="1"/>
  <c r="G527" i="1"/>
  <c r="K526" i="1"/>
  <c r="J526" i="1"/>
  <c r="I526" i="1"/>
  <c r="H526" i="1"/>
  <c r="G526" i="1"/>
  <c r="K525" i="1"/>
  <c r="J525" i="1"/>
  <c r="I525" i="1"/>
  <c r="H525" i="1"/>
  <c r="G525" i="1"/>
  <c r="K524" i="1"/>
  <c r="J524" i="1"/>
  <c r="I524" i="1"/>
  <c r="H524" i="1"/>
  <c r="G524" i="1"/>
  <c r="K523" i="1"/>
  <c r="J523" i="1"/>
  <c r="I523" i="1"/>
  <c r="H523" i="1"/>
  <c r="G523" i="1"/>
  <c r="K522" i="1"/>
  <c r="J522" i="1"/>
  <c r="I522" i="1"/>
  <c r="H522" i="1"/>
  <c r="G522" i="1"/>
  <c r="K521" i="1"/>
  <c r="J521" i="1"/>
  <c r="I521" i="1"/>
  <c r="H521" i="1"/>
  <c r="G521" i="1"/>
  <c r="K520" i="1"/>
  <c r="J520" i="1"/>
  <c r="I520" i="1"/>
  <c r="H520" i="1"/>
  <c r="G520" i="1"/>
  <c r="K519" i="1"/>
  <c r="J519" i="1"/>
  <c r="I519" i="1"/>
  <c r="H519" i="1"/>
  <c r="G519" i="1"/>
  <c r="K518" i="1"/>
  <c r="J518" i="1"/>
  <c r="I518" i="1"/>
  <c r="H518" i="1"/>
  <c r="G518" i="1"/>
  <c r="K517" i="1"/>
  <c r="J517" i="1"/>
  <c r="I517" i="1"/>
  <c r="H517" i="1"/>
  <c r="G517" i="1"/>
  <c r="K516" i="1"/>
  <c r="J516" i="1"/>
  <c r="I516" i="1"/>
  <c r="H516" i="1"/>
  <c r="G516" i="1"/>
  <c r="K515" i="1"/>
  <c r="J515" i="1"/>
  <c r="I515" i="1"/>
  <c r="H515" i="1"/>
  <c r="G515" i="1"/>
  <c r="K514" i="1"/>
  <c r="J514" i="1"/>
  <c r="I514" i="1"/>
  <c r="H514" i="1"/>
  <c r="G514" i="1"/>
  <c r="K513" i="1"/>
  <c r="J513" i="1"/>
  <c r="I513" i="1"/>
  <c r="H513" i="1"/>
  <c r="G513" i="1"/>
  <c r="K512" i="1"/>
  <c r="J512" i="1"/>
  <c r="I512" i="1"/>
  <c r="H512" i="1"/>
  <c r="G512" i="1"/>
  <c r="K511" i="1"/>
  <c r="J511" i="1"/>
  <c r="I511" i="1"/>
  <c r="H511" i="1"/>
  <c r="G511" i="1"/>
  <c r="K510" i="1"/>
  <c r="J510" i="1"/>
  <c r="I510" i="1"/>
  <c r="H510" i="1"/>
  <c r="G510" i="1"/>
  <c r="K509" i="1"/>
  <c r="J509" i="1"/>
  <c r="I509" i="1"/>
  <c r="H509" i="1"/>
  <c r="G509" i="1"/>
  <c r="K508" i="1"/>
  <c r="J508" i="1"/>
  <c r="I508" i="1"/>
  <c r="H508" i="1"/>
  <c r="G508" i="1"/>
  <c r="K507" i="1"/>
  <c r="J507" i="1"/>
  <c r="I507" i="1"/>
  <c r="H507" i="1"/>
  <c r="G507" i="1"/>
  <c r="K506" i="1"/>
  <c r="J506" i="1"/>
  <c r="I506" i="1"/>
  <c r="H506" i="1"/>
  <c r="G506" i="1"/>
  <c r="K505" i="1"/>
  <c r="J505" i="1"/>
  <c r="I505" i="1"/>
  <c r="H505" i="1"/>
  <c r="G505" i="1"/>
  <c r="K504" i="1"/>
  <c r="J504" i="1"/>
  <c r="I504" i="1"/>
  <c r="H504" i="1"/>
  <c r="G504" i="1"/>
  <c r="K503" i="1"/>
  <c r="J503" i="1"/>
  <c r="I503" i="1"/>
  <c r="H503" i="1"/>
  <c r="G503" i="1"/>
  <c r="K502" i="1"/>
  <c r="J502" i="1"/>
  <c r="I502" i="1"/>
  <c r="H502" i="1"/>
  <c r="G502" i="1"/>
  <c r="K501" i="1"/>
  <c r="J501" i="1"/>
  <c r="I501" i="1"/>
  <c r="H501" i="1"/>
  <c r="G501" i="1"/>
  <c r="K500" i="1"/>
  <c r="J500" i="1"/>
  <c r="I500" i="1"/>
  <c r="H500" i="1"/>
  <c r="G500" i="1"/>
  <c r="K499" i="1"/>
  <c r="J499" i="1"/>
  <c r="I499" i="1"/>
  <c r="H499" i="1"/>
  <c r="G499" i="1"/>
  <c r="K498" i="1"/>
  <c r="J498" i="1"/>
  <c r="I498" i="1"/>
  <c r="H498" i="1"/>
  <c r="G498" i="1"/>
  <c r="K497" i="1"/>
  <c r="J497" i="1"/>
  <c r="I497" i="1"/>
  <c r="H497" i="1"/>
  <c r="G497" i="1"/>
  <c r="K496" i="1"/>
  <c r="J496" i="1"/>
  <c r="I496" i="1"/>
  <c r="H496" i="1"/>
  <c r="G496" i="1"/>
  <c r="K495" i="1"/>
  <c r="J495" i="1"/>
  <c r="I495" i="1"/>
  <c r="H495" i="1"/>
  <c r="G495" i="1"/>
  <c r="K494" i="1"/>
  <c r="J494" i="1"/>
  <c r="I494" i="1"/>
  <c r="H494" i="1"/>
  <c r="G494" i="1"/>
  <c r="K493" i="1"/>
  <c r="J493" i="1"/>
  <c r="I493" i="1"/>
  <c r="H493" i="1"/>
  <c r="G493" i="1"/>
  <c r="K492" i="1"/>
  <c r="J492" i="1"/>
  <c r="I492" i="1"/>
  <c r="H492" i="1"/>
  <c r="G492" i="1"/>
  <c r="K491" i="1"/>
  <c r="J491" i="1"/>
  <c r="I491" i="1"/>
  <c r="H491" i="1"/>
  <c r="G491" i="1"/>
  <c r="K490" i="1"/>
  <c r="J490" i="1"/>
  <c r="I490" i="1"/>
  <c r="H490" i="1"/>
  <c r="G490" i="1"/>
  <c r="K489" i="1"/>
  <c r="J489" i="1"/>
  <c r="I489" i="1"/>
  <c r="H489" i="1"/>
  <c r="G489" i="1"/>
  <c r="K488" i="1"/>
  <c r="J488" i="1"/>
  <c r="I488" i="1"/>
  <c r="H488" i="1"/>
  <c r="G488" i="1"/>
  <c r="K487" i="1"/>
  <c r="J487" i="1"/>
  <c r="I487" i="1"/>
  <c r="H487" i="1"/>
  <c r="G487" i="1"/>
  <c r="K486" i="1"/>
  <c r="J486" i="1"/>
  <c r="I486" i="1"/>
  <c r="H486" i="1"/>
  <c r="G486" i="1"/>
  <c r="K485" i="1"/>
  <c r="J485" i="1"/>
  <c r="I485" i="1"/>
  <c r="H485" i="1"/>
  <c r="G485" i="1"/>
  <c r="K484" i="1"/>
  <c r="J484" i="1"/>
  <c r="I484" i="1"/>
  <c r="H484" i="1"/>
  <c r="G484" i="1"/>
  <c r="K483" i="1"/>
  <c r="J483" i="1"/>
  <c r="I483" i="1"/>
  <c r="H483" i="1"/>
  <c r="G483" i="1"/>
  <c r="K482" i="1"/>
  <c r="J482" i="1"/>
  <c r="I482" i="1"/>
  <c r="H482" i="1"/>
  <c r="G482" i="1"/>
  <c r="K481" i="1"/>
  <c r="J481" i="1"/>
  <c r="I481" i="1"/>
  <c r="H481" i="1"/>
  <c r="G481" i="1"/>
  <c r="K480" i="1"/>
  <c r="J480" i="1"/>
  <c r="I480" i="1"/>
  <c r="H480" i="1"/>
  <c r="G480" i="1"/>
  <c r="K479" i="1"/>
  <c r="J479" i="1"/>
  <c r="I479" i="1"/>
  <c r="H479" i="1"/>
  <c r="G479" i="1"/>
  <c r="K478" i="1"/>
  <c r="J478" i="1"/>
  <c r="I478" i="1"/>
  <c r="H478" i="1"/>
  <c r="G478" i="1"/>
  <c r="K477" i="1"/>
  <c r="J477" i="1"/>
  <c r="I477" i="1"/>
  <c r="H477" i="1"/>
  <c r="G477" i="1"/>
  <c r="K476" i="1"/>
  <c r="J476" i="1"/>
  <c r="I476" i="1"/>
  <c r="H476" i="1"/>
  <c r="G476" i="1"/>
  <c r="K475" i="1"/>
  <c r="J475" i="1"/>
  <c r="I475" i="1"/>
  <c r="H475" i="1"/>
  <c r="G475" i="1"/>
  <c r="K474" i="1"/>
  <c r="J474" i="1"/>
  <c r="I474" i="1"/>
  <c r="H474" i="1"/>
  <c r="G474" i="1"/>
  <c r="K473" i="1"/>
  <c r="J473" i="1"/>
  <c r="I473" i="1"/>
  <c r="H473" i="1"/>
  <c r="G473" i="1"/>
  <c r="K472" i="1"/>
  <c r="J472" i="1"/>
  <c r="I472" i="1"/>
  <c r="H472" i="1"/>
  <c r="G472" i="1"/>
  <c r="K471" i="1"/>
  <c r="J471" i="1"/>
  <c r="I471" i="1"/>
  <c r="H471" i="1"/>
  <c r="G471" i="1"/>
  <c r="K470" i="1"/>
  <c r="J470" i="1"/>
  <c r="I470" i="1"/>
  <c r="H470" i="1"/>
  <c r="G470" i="1"/>
  <c r="K469" i="1"/>
  <c r="J469" i="1"/>
  <c r="I469" i="1"/>
  <c r="H469" i="1"/>
  <c r="G469" i="1"/>
  <c r="K468" i="1"/>
  <c r="J468" i="1"/>
  <c r="I468" i="1"/>
  <c r="H468" i="1"/>
  <c r="G468" i="1"/>
  <c r="K467" i="1"/>
  <c r="J467" i="1"/>
  <c r="I467" i="1"/>
  <c r="H467" i="1"/>
  <c r="G467" i="1"/>
  <c r="K466" i="1"/>
  <c r="J466" i="1"/>
  <c r="I466" i="1"/>
  <c r="H466" i="1"/>
  <c r="G466" i="1"/>
  <c r="K465" i="1"/>
  <c r="J465" i="1"/>
  <c r="I465" i="1"/>
  <c r="H465" i="1"/>
  <c r="G465" i="1"/>
  <c r="K464" i="1"/>
  <c r="J464" i="1"/>
  <c r="I464" i="1"/>
  <c r="H464" i="1"/>
  <c r="G464" i="1"/>
  <c r="K463" i="1"/>
  <c r="J463" i="1"/>
  <c r="I463" i="1"/>
  <c r="H463" i="1"/>
  <c r="G463" i="1"/>
  <c r="K462" i="1"/>
  <c r="J462" i="1"/>
  <c r="I462" i="1"/>
  <c r="H462" i="1"/>
  <c r="G462" i="1"/>
  <c r="K461" i="1"/>
  <c r="J461" i="1"/>
  <c r="I461" i="1"/>
  <c r="H461" i="1"/>
  <c r="G461" i="1"/>
  <c r="K460" i="1"/>
  <c r="J460" i="1"/>
  <c r="I460" i="1"/>
  <c r="H460" i="1"/>
  <c r="G460" i="1"/>
  <c r="K459" i="1"/>
  <c r="J459" i="1"/>
  <c r="I459" i="1"/>
  <c r="H459" i="1"/>
  <c r="G459" i="1"/>
  <c r="K458" i="1"/>
  <c r="J458" i="1"/>
  <c r="I458" i="1"/>
  <c r="H458" i="1"/>
  <c r="G458" i="1"/>
  <c r="K457" i="1"/>
  <c r="J457" i="1"/>
  <c r="I457" i="1"/>
  <c r="H457" i="1"/>
  <c r="G457" i="1"/>
  <c r="K456" i="1"/>
  <c r="J456" i="1"/>
  <c r="I456" i="1"/>
  <c r="H456" i="1"/>
  <c r="G456" i="1"/>
  <c r="K455" i="1"/>
  <c r="J455" i="1"/>
  <c r="I455" i="1"/>
  <c r="H455" i="1"/>
  <c r="G455" i="1"/>
  <c r="K454" i="1"/>
  <c r="J454" i="1"/>
  <c r="I454" i="1"/>
  <c r="H454" i="1"/>
  <c r="G454" i="1"/>
  <c r="K453" i="1"/>
  <c r="J453" i="1"/>
  <c r="I453" i="1"/>
  <c r="H453" i="1"/>
  <c r="G453" i="1"/>
  <c r="K452" i="1"/>
  <c r="J452" i="1"/>
  <c r="I452" i="1"/>
  <c r="H452" i="1"/>
  <c r="G452" i="1"/>
  <c r="K451" i="1"/>
  <c r="J451" i="1"/>
  <c r="I451" i="1"/>
  <c r="H451" i="1"/>
  <c r="G451" i="1"/>
  <c r="K450" i="1"/>
  <c r="J450" i="1"/>
  <c r="I450" i="1"/>
  <c r="H450" i="1"/>
  <c r="G450" i="1"/>
  <c r="K449" i="1"/>
  <c r="J449" i="1"/>
  <c r="I449" i="1"/>
  <c r="H449" i="1"/>
  <c r="G449" i="1"/>
  <c r="K448" i="1"/>
  <c r="J448" i="1"/>
  <c r="I448" i="1"/>
  <c r="H448" i="1"/>
  <c r="G448" i="1"/>
  <c r="K447" i="1"/>
  <c r="J447" i="1"/>
  <c r="I447" i="1"/>
  <c r="H447" i="1"/>
  <c r="G447" i="1"/>
  <c r="K446" i="1"/>
  <c r="J446" i="1"/>
  <c r="I446" i="1"/>
  <c r="H446" i="1"/>
  <c r="G446" i="1"/>
  <c r="K445" i="1"/>
  <c r="J445" i="1"/>
  <c r="I445" i="1"/>
  <c r="H445" i="1"/>
  <c r="G445" i="1"/>
  <c r="K444" i="1"/>
  <c r="J444" i="1"/>
  <c r="I444" i="1"/>
  <c r="H444" i="1"/>
  <c r="G444" i="1"/>
  <c r="K443" i="1"/>
  <c r="J443" i="1"/>
  <c r="I443" i="1"/>
  <c r="H443" i="1"/>
  <c r="G443" i="1"/>
  <c r="K442" i="1"/>
  <c r="J442" i="1"/>
  <c r="I442" i="1"/>
  <c r="H442" i="1"/>
  <c r="G442" i="1"/>
  <c r="K441" i="1"/>
  <c r="J441" i="1"/>
  <c r="I441" i="1"/>
  <c r="H441" i="1"/>
  <c r="G441" i="1"/>
  <c r="K440" i="1"/>
  <c r="J440" i="1"/>
  <c r="I440" i="1"/>
  <c r="H440" i="1"/>
  <c r="G440" i="1"/>
  <c r="K439" i="1"/>
  <c r="J439" i="1"/>
  <c r="I439" i="1"/>
  <c r="H439" i="1"/>
  <c r="G439" i="1"/>
  <c r="K438" i="1"/>
  <c r="J438" i="1"/>
  <c r="I438" i="1"/>
  <c r="H438" i="1"/>
  <c r="G438" i="1"/>
  <c r="K437" i="1"/>
  <c r="J437" i="1"/>
  <c r="I437" i="1"/>
  <c r="H437" i="1"/>
  <c r="G437" i="1"/>
  <c r="K436" i="1"/>
  <c r="J436" i="1"/>
  <c r="I436" i="1"/>
  <c r="H436" i="1"/>
  <c r="G436" i="1"/>
  <c r="K435" i="1"/>
  <c r="J435" i="1"/>
  <c r="I435" i="1"/>
  <c r="H435" i="1"/>
  <c r="G435" i="1"/>
  <c r="K434" i="1"/>
  <c r="J434" i="1"/>
  <c r="I434" i="1"/>
  <c r="H434" i="1"/>
  <c r="G434" i="1"/>
  <c r="K433" i="1"/>
  <c r="J433" i="1"/>
  <c r="I433" i="1"/>
  <c r="H433" i="1"/>
  <c r="G433" i="1"/>
  <c r="K432" i="1"/>
  <c r="J432" i="1"/>
  <c r="I432" i="1"/>
  <c r="H432" i="1"/>
  <c r="G432" i="1"/>
  <c r="K431" i="1"/>
  <c r="J431" i="1"/>
  <c r="I431" i="1"/>
  <c r="H431" i="1"/>
  <c r="G431" i="1"/>
  <c r="K430" i="1"/>
  <c r="J430" i="1"/>
  <c r="I430" i="1"/>
  <c r="H430" i="1"/>
  <c r="G430" i="1"/>
  <c r="K429" i="1"/>
  <c r="J429" i="1"/>
  <c r="I429" i="1"/>
  <c r="H429" i="1"/>
  <c r="G429" i="1"/>
  <c r="K428" i="1"/>
  <c r="J428" i="1"/>
  <c r="I428" i="1"/>
  <c r="H428" i="1"/>
  <c r="G428" i="1"/>
  <c r="K427" i="1"/>
  <c r="J427" i="1"/>
  <c r="I427" i="1"/>
  <c r="H427" i="1"/>
  <c r="G427" i="1"/>
  <c r="K426" i="1"/>
  <c r="J426" i="1"/>
  <c r="I426" i="1"/>
  <c r="H426" i="1"/>
  <c r="G426" i="1"/>
  <c r="K425" i="1"/>
  <c r="J425" i="1"/>
  <c r="I425" i="1"/>
  <c r="H425" i="1"/>
  <c r="G425" i="1"/>
  <c r="K424" i="1"/>
  <c r="J424" i="1"/>
  <c r="I424" i="1"/>
  <c r="H424" i="1"/>
  <c r="G424" i="1"/>
  <c r="K423" i="1"/>
  <c r="J423" i="1"/>
  <c r="I423" i="1"/>
  <c r="H423" i="1"/>
  <c r="G423" i="1"/>
  <c r="K422" i="1"/>
  <c r="J422" i="1"/>
  <c r="I422" i="1"/>
  <c r="H422" i="1"/>
  <c r="G422" i="1"/>
  <c r="K421" i="1"/>
  <c r="J421" i="1"/>
  <c r="I421" i="1"/>
  <c r="H421" i="1"/>
  <c r="G421" i="1"/>
  <c r="K420" i="1"/>
  <c r="J420" i="1"/>
  <c r="I420" i="1"/>
  <c r="H420" i="1"/>
  <c r="G420" i="1"/>
  <c r="K419" i="1"/>
  <c r="J419" i="1"/>
  <c r="I419" i="1"/>
  <c r="H419" i="1"/>
  <c r="G419" i="1"/>
  <c r="K418" i="1"/>
  <c r="J418" i="1"/>
  <c r="I418" i="1"/>
  <c r="H418" i="1"/>
  <c r="G418" i="1"/>
  <c r="K417" i="1"/>
  <c r="J417" i="1"/>
  <c r="I417" i="1"/>
  <c r="H417" i="1"/>
  <c r="G417" i="1"/>
  <c r="K416" i="1"/>
  <c r="J416" i="1"/>
  <c r="I416" i="1"/>
  <c r="H416" i="1"/>
  <c r="G416" i="1"/>
  <c r="K415" i="1"/>
  <c r="J415" i="1"/>
  <c r="I415" i="1"/>
  <c r="H415" i="1"/>
  <c r="G415" i="1"/>
  <c r="K414" i="1"/>
  <c r="J414" i="1"/>
  <c r="I414" i="1"/>
  <c r="H414" i="1"/>
  <c r="G414" i="1"/>
  <c r="K413" i="1"/>
  <c r="J413" i="1"/>
  <c r="I413" i="1"/>
  <c r="H413" i="1"/>
  <c r="G413" i="1"/>
  <c r="K412" i="1"/>
  <c r="J412" i="1"/>
  <c r="I412" i="1"/>
  <c r="H412" i="1"/>
  <c r="G412" i="1"/>
  <c r="K411" i="1"/>
  <c r="J411" i="1"/>
  <c r="I411" i="1"/>
  <c r="H411" i="1"/>
  <c r="G411" i="1"/>
  <c r="K410" i="1"/>
  <c r="J410" i="1"/>
  <c r="I410" i="1"/>
  <c r="H410" i="1"/>
  <c r="G410" i="1"/>
  <c r="K409" i="1"/>
  <c r="J409" i="1"/>
  <c r="I409" i="1"/>
  <c r="H409" i="1"/>
  <c r="G409" i="1"/>
  <c r="K408" i="1"/>
  <c r="J408" i="1"/>
  <c r="I408" i="1"/>
  <c r="H408" i="1"/>
  <c r="G408" i="1"/>
  <c r="K407" i="1"/>
  <c r="J407" i="1"/>
  <c r="I407" i="1"/>
  <c r="H407" i="1"/>
  <c r="G407" i="1"/>
  <c r="K406" i="1"/>
  <c r="J406" i="1"/>
  <c r="I406" i="1"/>
  <c r="H406" i="1"/>
  <c r="G406" i="1"/>
  <c r="K405" i="1"/>
  <c r="J405" i="1"/>
  <c r="I405" i="1"/>
  <c r="H405" i="1"/>
  <c r="G405" i="1"/>
  <c r="K404" i="1"/>
  <c r="J404" i="1"/>
  <c r="I404" i="1"/>
  <c r="H404" i="1"/>
  <c r="G404" i="1"/>
  <c r="K403" i="1"/>
  <c r="J403" i="1"/>
  <c r="I403" i="1"/>
  <c r="H403" i="1"/>
  <c r="G403" i="1"/>
  <c r="K402" i="1"/>
  <c r="J402" i="1"/>
  <c r="I402" i="1"/>
  <c r="H402" i="1"/>
  <c r="G402" i="1"/>
  <c r="K401" i="1"/>
  <c r="J401" i="1"/>
  <c r="I401" i="1"/>
  <c r="H401" i="1"/>
  <c r="G401" i="1"/>
  <c r="K400" i="1"/>
  <c r="J400" i="1"/>
  <c r="I400" i="1"/>
  <c r="H400" i="1"/>
  <c r="G400" i="1"/>
  <c r="K399" i="1"/>
  <c r="J399" i="1"/>
  <c r="I399" i="1"/>
  <c r="H399" i="1"/>
  <c r="G399" i="1"/>
  <c r="K398" i="1"/>
  <c r="J398" i="1"/>
  <c r="I398" i="1"/>
  <c r="H398" i="1"/>
  <c r="G398" i="1"/>
  <c r="K397" i="1"/>
  <c r="J397" i="1"/>
  <c r="I397" i="1"/>
  <c r="H397" i="1"/>
  <c r="G397" i="1"/>
  <c r="K396" i="1"/>
  <c r="J396" i="1"/>
  <c r="I396" i="1"/>
  <c r="H396" i="1"/>
  <c r="G396" i="1"/>
  <c r="K395" i="1"/>
  <c r="J395" i="1"/>
  <c r="I395" i="1"/>
  <c r="H395" i="1"/>
  <c r="G395" i="1"/>
  <c r="K394" i="1"/>
  <c r="J394" i="1"/>
  <c r="I394" i="1"/>
  <c r="H394" i="1"/>
  <c r="G394" i="1"/>
  <c r="K393" i="1"/>
  <c r="J393" i="1"/>
  <c r="I393" i="1"/>
  <c r="H393" i="1"/>
  <c r="G393" i="1"/>
  <c r="K392" i="1"/>
  <c r="J392" i="1"/>
  <c r="I392" i="1"/>
  <c r="H392" i="1"/>
  <c r="G392" i="1"/>
  <c r="K391" i="1"/>
  <c r="J391" i="1"/>
  <c r="I391" i="1"/>
  <c r="H391" i="1"/>
  <c r="G391" i="1"/>
  <c r="K390" i="1"/>
  <c r="J390" i="1"/>
  <c r="I390" i="1"/>
  <c r="H390" i="1"/>
  <c r="G390" i="1"/>
  <c r="K389" i="1"/>
  <c r="J389" i="1"/>
  <c r="I389" i="1"/>
  <c r="H389" i="1"/>
  <c r="G389" i="1"/>
  <c r="K388" i="1"/>
  <c r="J388" i="1"/>
  <c r="I388" i="1"/>
  <c r="H388" i="1"/>
  <c r="G388" i="1"/>
  <c r="K387" i="1"/>
  <c r="J387" i="1"/>
  <c r="I387" i="1"/>
  <c r="H387" i="1"/>
  <c r="G387" i="1"/>
  <c r="K386" i="1"/>
  <c r="J386" i="1"/>
  <c r="I386" i="1"/>
  <c r="H386" i="1"/>
  <c r="G386" i="1"/>
  <c r="K385" i="1"/>
  <c r="J385" i="1"/>
  <c r="I385" i="1"/>
  <c r="H385" i="1"/>
  <c r="G385" i="1"/>
  <c r="K384" i="1"/>
  <c r="J384" i="1"/>
  <c r="I384" i="1"/>
  <c r="H384" i="1"/>
  <c r="G384" i="1"/>
  <c r="K383" i="1"/>
  <c r="J383" i="1"/>
  <c r="I383" i="1"/>
  <c r="H383" i="1"/>
  <c r="G383" i="1"/>
  <c r="K382" i="1"/>
  <c r="J382" i="1"/>
  <c r="I382" i="1"/>
  <c r="H382" i="1"/>
  <c r="G382" i="1"/>
  <c r="K381" i="1"/>
  <c r="J381" i="1"/>
  <c r="I381" i="1"/>
  <c r="H381" i="1"/>
  <c r="G381" i="1"/>
  <c r="K380" i="1"/>
  <c r="J380" i="1"/>
  <c r="I380" i="1"/>
  <c r="H380" i="1"/>
  <c r="G380" i="1"/>
  <c r="K379" i="1"/>
  <c r="J379" i="1"/>
  <c r="I379" i="1"/>
  <c r="H379" i="1"/>
  <c r="G379" i="1"/>
  <c r="K378" i="1"/>
  <c r="J378" i="1"/>
  <c r="I378" i="1"/>
  <c r="H378" i="1"/>
  <c r="G378" i="1"/>
  <c r="K377" i="1"/>
  <c r="J377" i="1"/>
  <c r="I377" i="1"/>
  <c r="H377" i="1"/>
  <c r="G377" i="1"/>
  <c r="K376" i="1"/>
  <c r="J376" i="1"/>
  <c r="I376" i="1"/>
  <c r="H376" i="1"/>
  <c r="G376" i="1"/>
  <c r="K375" i="1"/>
  <c r="J375" i="1"/>
  <c r="I375" i="1"/>
  <c r="H375" i="1"/>
  <c r="G375" i="1"/>
  <c r="K374" i="1"/>
  <c r="J374" i="1"/>
  <c r="I374" i="1"/>
  <c r="H374" i="1"/>
  <c r="G374" i="1"/>
  <c r="K373" i="1"/>
  <c r="J373" i="1"/>
  <c r="I373" i="1"/>
  <c r="H373" i="1"/>
  <c r="G373" i="1"/>
  <c r="K372" i="1"/>
  <c r="J372" i="1"/>
  <c r="I372" i="1"/>
  <c r="H372" i="1"/>
  <c r="G372" i="1"/>
  <c r="K371" i="1"/>
  <c r="J371" i="1"/>
  <c r="I371" i="1"/>
  <c r="H371" i="1"/>
  <c r="G371" i="1"/>
  <c r="K370" i="1"/>
  <c r="J370" i="1"/>
  <c r="I370" i="1"/>
  <c r="H370" i="1"/>
  <c r="G370" i="1"/>
  <c r="K369" i="1"/>
  <c r="J369" i="1"/>
  <c r="I369" i="1"/>
  <c r="H369" i="1"/>
  <c r="G369" i="1"/>
  <c r="K368" i="1"/>
  <c r="J368" i="1"/>
  <c r="I368" i="1"/>
  <c r="H368" i="1"/>
  <c r="G368" i="1"/>
  <c r="K367" i="1"/>
  <c r="J367" i="1"/>
  <c r="I367" i="1"/>
  <c r="H367" i="1"/>
  <c r="G367" i="1"/>
  <c r="K366" i="1"/>
  <c r="J366" i="1"/>
  <c r="I366" i="1"/>
  <c r="H366" i="1"/>
  <c r="G366" i="1"/>
  <c r="K365" i="1"/>
  <c r="J365" i="1"/>
  <c r="I365" i="1"/>
  <c r="H365" i="1"/>
  <c r="G365" i="1"/>
  <c r="K364" i="1"/>
  <c r="J364" i="1"/>
  <c r="I364" i="1"/>
  <c r="H364" i="1"/>
  <c r="G364" i="1"/>
  <c r="K363" i="1"/>
  <c r="J363" i="1"/>
  <c r="I363" i="1"/>
  <c r="H363" i="1"/>
  <c r="G363" i="1"/>
  <c r="K362" i="1"/>
  <c r="J362" i="1"/>
  <c r="I362" i="1"/>
  <c r="H362" i="1"/>
  <c r="G362" i="1"/>
  <c r="K361" i="1"/>
  <c r="J361" i="1"/>
  <c r="I361" i="1"/>
  <c r="H361" i="1"/>
  <c r="G361" i="1"/>
  <c r="K360" i="1"/>
  <c r="J360" i="1"/>
  <c r="I360" i="1"/>
  <c r="H360" i="1"/>
  <c r="G360" i="1"/>
  <c r="K359" i="1"/>
  <c r="J359" i="1"/>
  <c r="I359" i="1"/>
  <c r="H359" i="1"/>
  <c r="G359" i="1"/>
  <c r="K358" i="1"/>
  <c r="J358" i="1"/>
  <c r="I358" i="1"/>
  <c r="H358" i="1"/>
  <c r="G358" i="1"/>
  <c r="K357" i="1"/>
  <c r="J357" i="1"/>
  <c r="I357" i="1"/>
  <c r="H357" i="1"/>
  <c r="G357" i="1"/>
  <c r="K356" i="1"/>
  <c r="J356" i="1"/>
  <c r="I356" i="1"/>
  <c r="H356" i="1"/>
  <c r="G356" i="1"/>
  <c r="K355" i="1"/>
  <c r="J355" i="1"/>
  <c r="I355" i="1"/>
  <c r="H355" i="1"/>
  <c r="G355" i="1"/>
  <c r="K354" i="1"/>
  <c r="J354" i="1"/>
  <c r="I354" i="1"/>
  <c r="H354" i="1"/>
  <c r="G354" i="1"/>
  <c r="K353" i="1"/>
  <c r="J353" i="1"/>
  <c r="I353" i="1"/>
  <c r="H353" i="1"/>
  <c r="G353" i="1"/>
  <c r="K352" i="1"/>
  <c r="J352" i="1"/>
  <c r="I352" i="1"/>
  <c r="H352" i="1"/>
  <c r="G352" i="1"/>
  <c r="K351" i="1"/>
  <c r="J351" i="1"/>
  <c r="I351" i="1"/>
  <c r="H351" i="1"/>
  <c r="G351" i="1"/>
  <c r="K350" i="1"/>
  <c r="J350" i="1"/>
  <c r="I350" i="1"/>
  <c r="H350" i="1"/>
  <c r="G350" i="1"/>
  <c r="K349" i="1"/>
  <c r="J349" i="1"/>
  <c r="I349" i="1"/>
  <c r="H349" i="1"/>
  <c r="G349" i="1"/>
  <c r="K348" i="1"/>
  <c r="J348" i="1"/>
  <c r="I348" i="1"/>
  <c r="H348" i="1"/>
  <c r="G348" i="1"/>
  <c r="K347" i="1"/>
  <c r="J347" i="1"/>
  <c r="I347" i="1"/>
  <c r="H347" i="1"/>
  <c r="G347" i="1"/>
  <c r="K346" i="1"/>
  <c r="J346" i="1"/>
  <c r="I346" i="1"/>
  <c r="H346" i="1"/>
  <c r="G346" i="1"/>
  <c r="K345" i="1"/>
  <c r="J345" i="1"/>
  <c r="I345" i="1"/>
  <c r="H345" i="1"/>
  <c r="G345" i="1"/>
  <c r="K344" i="1"/>
  <c r="J344" i="1"/>
  <c r="I344" i="1"/>
  <c r="H344" i="1"/>
  <c r="G344" i="1"/>
  <c r="K343" i="1"/>
  <c r="J343" i="1"/>
  <c r="I343" i="1"/>
  <c r="H343" i="1"/>
  <c r="G343" i="1"/>
  <c r="K342" i="1"/>
  <c r="J342" i="1"/>
  <c r="I342" i="1"/>
  <c r="H342" i="1"/>
  <c r="G342" i="1"/>
  <c r="K341" i="1"/>
  <c r="J341" i="1"/>
  <c r="I341" i="1"/>
  <c r="H341" i="1"/>
  <c r="G341" i="1"/>
  <c r="K340" i="1"/>
  <c r="J340" i="1"/>
  <c r="I340" i="1"/>
  <c r="H340" i="1"/>
  <c r="G340" i="1"/>
  <c r="K339" i="1"/>
  <c r="J339" i="1"/>
  <c r="I339" i="1"/>
  <c r="H339" i="1"/>
  <c r="G339" i="1"/>
  <c r="K338" i="1"/>
  <c r="J338" i="1"/>
  <c r="I338" i="1"/>
  <c r="H338" i="1"/>
  <c r="G338" i="1"/>
  <c r="K337" i="1"/>
  <c r="J337" i="1"/>
  <c r="I337" i="1"/>
  <c r="H337" i="1"/>
  <c r="G337" i="1"/>
  <c r="K336" i="1"/>
  <c r="J336" i="1"/>
  <c r="I336" i="1"/>
  <c r="H336" i="1"/>
  <c r="G336" i="1"/>
  <c r="K335" i="1"/>
  <c r="J335" i="1"/>
  <c r="I335" i="1"/>
  <c r="H335" i="1"/>
  <c r="G335" i="1"/>
  <c r="K334" i="1"/>
  <c r="J334" i="1"/>
  <c r="I334" i="1"/>
  <c r="H334" i="1"/>
  <c r="G334" i="1"/>
  <c r="K333" i="1"/>
  <c r="J333" i="1"/>
  <c r="I333" i="1"/>
  <c r="H333" i="1"/>
  <c r="G333" i="1"/>
  <c r="K332" i="1"/>
  <c r="J332" i="1"/>
  <c r="I332" i="1"/>
  <c r="H332" i="1"/>
  <c r="G332" i="1"/>
  <c r="K331" i="1"/>
  <c r="J331" i="1"/>
  <c r="I331" i="1"/>
  <c r="H331" i="1"/>
  <c r="G331" i="1"/>
  <c r="K330" i="1"/>
  <c r="J330" i="1"/>
  <c r="I330" i="1"/>
  <c r="H330" i="1"/>
  <c r="G330" i="1"/>
  <c r="K329" i="1"/>
  <c r="J329" i="1"/>
  <c r="I329" i="1"/>
  <c r="H329" i="1"/>
  <c r="G329" i="1"/>
  <c r="K328" i="1"/>
  <c r="J328" i="1"/>
  <c r="I328" i="1"/>
  <c r="H328" i="1"/>
  <c r="G328" i="1"/>
  <c r="K327" i="1"/>
  <c r="J327" i="1"/>
  <c r="I327" i="1"/>
  <c r="H327" i="1"/>
  <c r="G327" i="1"/>
  <c r="K326" i="1"/>
  <c r="J326" i="1"/>
  <c r="I326" i="1"/>
  <c r="H326" i="1"/>
  <c r="G326" i="1"/>
  <c r="K325" i="1"/>
  <c r="J325" i="1"/>
  <c r="I325" i="1"/>
  <c r="H325" i="1"/>
  <c r="G325" i="1"/>
  <c r="K324" i="1"/>
  <c r="J324" i="1"/>
  <c r="I324" i="1"/>
  <c r="H324" i="1"/>
  <c r="G324" i="1"/>
  <c r="K323" i="1"/>
  <c r="J323" i="1"/>
  <c r="I323" i="1"/>
  <c r="H323" i="1"/>
  <c r="G323" i="1"/>
  <c r="K322" i="1"/>
  <c r="J322" i="1"/>
  <c r="I322" i="1"/>
  <c r="H322" i="1"/>
  <c r="G322" i="1"/>
  <c r="K321" i="1"/>
  <c r="J321" i="1"/>
  <c r="I321" i="1"/>
  <c r="H321" i="1"/>
  <c r="G321" i="1"/>
  <c r="K320" i="1"/>
  <c r="J320" i="1"/>
  <c r="I320" i="1"/>
  <c r="H320" i="1"/>
  <c r="G320" i="1"/>
  <c r="K319" i="1"/>
  <c r="J319" i="1"/>
  <c r="I319" i="1"/>
  <c r="H319" i="1"/>
  <c r="G319" i="1"/>
  <c r="K318" i="1"/>
  <c r="J318" i="1"/>
  <c r="I318" i="1"/>
  <c r="H318" i="1"/>
  <c r="G318" i="1"/>
  <c r="K317" i="1"/>
  <c r="J317" i="1"/>
  <c r="I317" i="1"/>
  <c r="H317" i="1"/>
  <c r="G317" i="1"/>
  <c r="K316" i="1"/>
  <c r="J316" i="1"/>
  <c r="I316" i="1"/>
  <c r="H316" i="1"/>
  <c r="G316" i="1"/>
  <c r="K315" i="1"/>
  <c r="J315" i="1"/>
  <c r="I315" i="1"/>
  <c r="H315" i="1"/>
  <c r="G315" i="1"/>
  <c r="K314" i="1"/>
  <c r="J314" i="1"/>
  <c r="I314" i="1"/>
  <c r="H314" i="1"/>
  <c r="G314" i="1"/>
  <c r="K313" i="1"/>
  <c r="J313" i="1"/>
  <c r="I313" i="1"/>
  <c r="H313" i="1"/>
  <c r="G313" i="1"/>
  <c r="K312" i="1"/>
  <c r="J312" i="1"/>
  <c r="I312" i="1"/>
  <c r="H312" i="1"/>
  <c r="G312" i="1"/>
  <c r="K311" i="1"/>
  <c r="J311" i="1"/>
  <c r="I311" i="1"/>
  <c r="H311" i="1"/>
  <c r="G311" i="1"/>
  <c r="K310" i="1"/>
  <c r="J310" i="1"/>
  <c r="I310" i="1"/>
  <c r="H310" i="1"/>
  <c r="G310" i="1"/>
  <c r="K309" i="1"/>
  <c r="J309" i="1"/>
  <c r="I309" i="1"/>
  <c r="H309" i="1"/>
  <c r="G309" i="1"/>
  <c r="K308" i="1"/>
  <c r="J308" i="1"/>
  <c r="I308" i="1"/>
  <c r="H308" i="1"/>
  <c r="G308" i="1"/>
  <c r="K307" i="1"/>
  <c r="J307" i="1"/>
  <c r="I307" i="1"/>
  <c r="H307" i="1"/>
  <c r="G307" i="1"/>
  <c r="K306" i="1"/>
  <c r="J306" i="1"/>
  <c r="I306" i="1"/>
  <c r="H306" i="1"/>
  <c r="G306" i="1"/>
  <c r="K305" i="1"/>
  <c r="J305" i="1"/>
  <c r="I305" i="1"/>
  <c r="H305" i="1"/>
  <c r="G305" i="1"/>
  <c r="K304" i="1"/>
  <c r="J304" i="1"/>
  <c r="I304" i="1"/>
  <c r="H304" i="1"/>
  <c r="G304" i="1"/>
  <c r="K303" i="1"/>
  <c r="J303" i="1"/>
  <c r="I303" i="1"/>
  <c r="H303" i="1"/>
  <c r="G303" i="1"/>
  <c r="K302" i="1"/>
  <c r="J302" i="1"/>
  <c r="I302" i="1"/>
  <c r="H302" i="1"/>
  <c r="G302" i="1"/>
  <c r="K301" i="1"/>
  <c r="J301" i="1"/>
  <c r="I301" i="1"/>
  <c r="H301" i="1"/>
  <c r="G301" i="1"/>
  <c r="K300" i="1"/>
  <c r="J300" i="1"/>
  <c r="I300" i="1"/>
  <c r="H300" i="1"/>
  <c r="G300" i="1"/>
  <c r="K299" i="1"/>
  <c r="J299" i="1"/>
  <c r="I299" i="1"/>
  <c r="H299" i="1"/>
  <c r="G299" i="1"/>
  <c r="K298" i="1"/>
  <c r="J298" i="1"/>
  <c r="I298" i="1"/>
  <c r="H298" i="1"/>
  <c r="G298" i="1"/>
  <c r="K297" i="1"/>
  <c r="J297" i="1"/>
  <c r="I297" i="1"/>
  <c r="H297" i="1"/>
  <c r="G297" i="1"/>
  <c r="K296" i="1"/>
  <c r="J296" i="1"/>
  <c r="I296" i="1"/>
  <c r="H296" i="1"/>
  <c r="G296" i="1"/>
  <c r="K295" i="1"/>
  <c r="J295" i="1"/>
  <c r="I295" i="1"/>
  <c r="H295" i="1"/>
  <c r="G295" i="1"/>
  <c r="K294" i="1"/>
  <c r="J294" i="1"/>
  <c r="I294" i="1"/>
  <c r="H294" i="1"/>
  <c r="G294" i="1"/>
  <c r="K293" i="1"/>
  <c r="J293" i="1"/>
  <c r="I293" i="1"/>
  <c r="H293" i="1"/>
  <c r="G293" i="1"/>
  <c r="K292" i="1"/>
  <c r="J292" i="1"/>
  <c r="I292" i="1"/>
  <c r="H292" i="1"/>
  <c r="G292" i="1"/>
  <c r="K291" i="1"/>
  <c r="J291" i="1"/>
  <c r="I291" i="1"/>
  <c r="H291" i="1"/>
  <c r="G291" i="1"/>
  <c r="K290" i="1"/>
  <c r="J290" i="1"/>
  <c r="I290" i="1"/>
  <c r="H290" i="1"/>
  <c r="G290" i="1"/>
  <c r="K289" i="1"/>
  <c r="J289" i="1"/>
  <c r="I289" i="1"/>
  <c r="H289" i="1"/>
  <c r="G289" i="1"/>
  <c r="K288" i="1"/>
  <c r="J288" i="1"/>
  <c r="I288" i="1"/>
  <c r="H288" i="1"/>
  <c r="G288" i="1"/>
  <c r="K287" i="1"/>
  <c r="J287" i="1"/>
  <c r="I287" i="1"/>
  <c r="H287" i="1"/>
  <c r="G287" i="1"/>
  <c r="K286" i="1"/>
  <c r="J286" i="1"/>
  <c r="I286" i="1"/>
  <c r="H286" i="1"/>
  <c r="G286" i="1"/>
  <c r="K285" i="1"/>
  <c r="J285" i="1"/>
  <c r="I285" i="1"/>
  <c r="H285" i="1"/>
  <c r="G285" i="1"/>
  <c r="K284" i="1"/>
  <c r="J284" i="1"/>
  <c r="I284" i="1"/>
  <c r="H284" i="1"/>
  <c r="G284" i="1"/>
  <c r="K283" i="1"/>
  <c r="J283" i="1"/>
  <c r="I283" i="1"/>
  <c r="H283" i="1"/>
  <c r="G283" i="1"/>
  <c r="K282" i="1"/>
  <c r="J282" i="1"/>
  <c r="I282" i="1"/>
  <c r="H282" i="1"/>
  <c r="G282" i="1"/>
  <c r="K281" i="1"/>
  <c r="J281" i="1"/>
  <c r="I281" i="1"/>
  <c r="H281" i="1"/>
  <c r="G281" i="1"/>
  <c r="K280" i="1"/>
  <c r="J280" i="1"/>
  <c r="I280" i="1"/>
  <c r="H280" i="1"/>
  <c r="G280" i="1"/>
  <c r="K279" i="1"/>
  <c r="J279" i="1"/>
  <c r="I279" i="1"/>
  <c r="H279" i="1"/>
  <c r="G279" i="1"/>
  <c r="K278" i="1"/>
  <c r="J278" i="1"/>
  <c r="I278" i="1"/>
  <c r="H278" i="1"/>
  <c r="G278" i="1"/>
  <c r="K277" i="1"/>
  <c r="J277" i="1"/>
  <c r="I277" i="1"/>
  <c r="H277" i="1"/>
  <c r="G277" i="1"/>
  <c r="K276" i="1"/>
  <c r="J276" i="1"/>
  <c r="I276" i="1"/>
  <c r="H276" i="1"/>
  <c r="G276" i="1"/>
  <c r="K275" i="1"/>
  <c r="J275" i="1"/>
  <c r="I275" i="1"/>
  <c r="H275" i="1"/>
  <c r="G275" i="1"/>
  <c r="K274" i="1"/>
  <c r="J274" i="1"/>
  <c r="I274" i="1"/>
  <c r="H274" i="1"/>
  <c r="G274" i="1"/>
  <c r="K273" i="1"/>
  <c r="J273" i="1"/>
  <c r="I273" i="1"/>
  <c r="H273" i="1"/>
  <c r="G273" i="1"/>
  <c r="K272" i="1"/>
  <c r="J272" i="1"/>
  <c r="I272" i="1"/>
  <c r="H272" i="1"/>
  <c r="G272" i="1"/>
  <c r="K271" i="1"/>
  <c r="J271" i="1"/>
  <c r="I271" i="1"/>
  <c r="H271" i="1"/>
  <c r="G271" i="1"/>
  <c r="K270" i="1"/>
  <c r="J270" i="1"/>
  <c r="I270" i="1"/>
  <c r="H270" i="1"/>
  <c r="G270" i="1"/>
  <c r="K269" i="1"/>
  <c r="J269" i="1"/>
  <c r="I269" i="1"/>
  <c r="H269" i="1"/>
  <c r="G269" i="1"/>
  <c r="K268" i="1"/>
  <c r="J268" i="1"/>
  <c r="I268" i="1"/>
  <c r="H268" i="1"/>
  <c r="G268" i="1"/>
  <c r="K267" i="1"/>
  <c r="J267" i="1"/>
  <c r="I267" i="1"/>
  <c r="H267" i="1"/>
  <c r="G267" i="1"/>
  <c r="K266" i="1"/>
  <c r="J266" i="1"/>
  <c r="I266" i="1"/>
  <c r="H266" i="1"/>
  <c r="G266" i="1"/>
  <c r="K265" i="1"/>
  <c r="J265" i="1"/>
  <c r="I265" i="1"/>
  <c r="H265" i="1"/>
  <c r="G265" i="1"/>
  <c r="K264" i="1"/>
  <c r="J264" i="1"/>
  <c r="I264" i="1"/>
  <c r="H264" i="1"/>
  <c r="G264" i="1"/>
  <c r="K263" i="1"/>
  <c r="J263" i="1"/>
  <c r="I263" i="1"/>
  <c r="H263" i="1"/>
  <c r="G263" i="1"/>
  <c r="K262" i="1"/>
  <c r="J262" i="1"/>
  <c r="I262" i="1"/>
  <c r="H262" i="1"/>
  <c r="G262" i="1"/>
  <c r="K261" i="1"/>
  <c r="J261" i="1"/>
  <c r="I261" i="1"/>
  <c r="H261" i="1"/>
  <c r="G261" i="1"/>
  <c r="K260" i="1"/>
  <c r="J260" i="1"/>
  <c r="I260" i="1"/>
  <c r="H260" i="1"/>
  <c r="G260" i="1"/>
  <c r="K259" i="1"/>
  <c r="J259" i="1"/>
  <c r="I259" i="1"/>
  <c r="H259" i="1"/>
  <c r="G259" i="1"/>
  <c r="K258" i="1"/>
  <c r="J258" i="1"/>
  <c r="I258" i="1"/>
  <c r="H258" i="1"/>
  <c r="G258" i="1"/>
  <c r="K257" i="1"/>
  <c r="J257" i="1"/>
  <c r="I257" i="1"/>
  <c r="H257" i="1"/>
  <c r="G257" i="1"/>
  <c r="K256" i="1"/>
  <c r="J256" i="1"/>
  <c r="I256" i="1"/>
  <c r="H256" i="1"/>
  <c r="G256" i="1"/>
  <c r="K255" i="1"/>
  <c r="J255" i="1"/>
  <c r="I255" i="1"/>
  <c r="H255" i="1"/>
  <c r="G255" i="1"/>
  <c r="K254" i="1"/>
  <c r="J254" i="1"/>
  <c r="I254" i="1"/>
  <c r="H254" i="1"/>
  <c r="G254" i="1"/>
  <c r="K253" i="1"/>
  <c r="J253" i="1"/>
  <c r="I253" i="1"/>
  <c r="H253" i="1"/>
  <c r="G253" i="1"/>
  <c r="K252" i="1"/>
  <c r="J252" i="1"/>
  <c r="I252" i="1"/>
  <c r="H252" i="1"/>
  <c r="G252" i="1"/>
  <c r="K251" i="1"/>
  <c r="J251" i="1"/>
  <c r="I251" i="1"/>
  <c r="H251" i="1"/>
  <c r="G251" i="1"/>
  <c r="K250" i="1"/>
  <c r="J250" i="1"/>
  <c r="I250" i="1"/>
  <c r="H250" i="1"/>
  <c r="G250" i="1"/>
  <c r="K249" i="1"/>
  <c r="J249" i="1"/>
  <c r="I249" i="1"/>
  <c r="H249" i="1"/>
  <c r="G249" i="1"/>
  <c r="K248" i="1"/>
  <c r="J248" i="1"/>
  <c r="I248" i="1"/>
  <c r="H248" i="1"/>
  <c r="G248" i="1"/>
  <c r="K247" i="1"/>
  <c r="J247" i="1"/>
  <c r="I247" i="1"/>
  <c r="H247" i="1"/>
  <c r="G247" i="1"/>
  <c r="K246" i="1"/>
  <c r="J246" i="1"/>
  <c r="I246" i="1"/>
  <c r="H246" i="1"/>
  <c r="G246" i="1"/>
  <c r="K245" i="1"/>
  <c r="J245" i="1"/>
  <c r="I245" i="1"/>
  <c r="H245" i="1"/>
  <c r="G245" i="1"/>
  <c r="K244" i="1"/>
  <c r="J244" i="1"/>
  <c r="I244" i="1"/>
  <c r="H244" i="1"/>
  <c r="G244" i="1"/>
  <c r="K243" i="1"/>
  <c r="J243" i="1"/>
  <c r="I243" i="1"/>
  <c r="H243" i="1"/>
  <c r="G243" i="1"/>
  <c r="K242" i="1"/>
  <c r="J242" i="1"/>
  <c r="I242" i="1"/>
  <c r="H242" i="1"/>
  <c r="G242" i="1"/>
  <c r="K241" i="1"/>
  <c r="J241" i="1"/>
  <c r="I241" i="1"/>
  <c r="H241" i="1"/>
  <c r="G241" i="1"/>
  <c r="K240" i="1"/>
  <c r="J240" i="1"/>
  <c r="I240" i="1"/>
  <c r="H240" i="1"/>
  <c r="G240" i="1"/>
  <c r="K239" i="1"/>
  <c r="J239" i="1"/>
  <c r="I239" i="1"/>
  <c r="H239" i="1"/>
  <c r="G239" i="1"/>
  <c r="K238" i="1"/>
  <c r="J238" i="1"/>
  <c r="I238" i="1"/>
  <c r="H238" i="1"/>
  <c r="G238" i="1"/>
  <c r="K237" i="1"/>
  <c r="J237" i="1"/>
  <c r="I237" i="1"/>
  <c r="H237" i="1"/>
  <c r="G237" i="1"/>
  <c r="K236" i="1"/>
  <c r="J236" i="1"/>
  <c r="I236" i="1"/>
  <c r="H236" i="1"/>
  <c r="G236" i="1"/>
  <c r="K235" i="1"/>
  <c r="J235" i="1"/>
  <c r="I235" i="1"/>
  <c r="H235" i="1"/>
  <c r="G235" i="1"/>
  <c r="K234" i="1"/>
  <c r="J234" i="1"/>
  <c r="I234" i="1"/>
  <c r="H234" i="1"/>
  <c r="G234" i="1"/>
  <c r="K233" i="1"/>
  <c r="J233" i="1"/>
  <c r="I233" i="1"/>
  <c r="H233" i="1"/>
  <c r="G233" i="1"/>
  <c r="K232" i="1"/>
  <c r="J232" i="1"/>
  <c r="I232" i="1"/>
  <c r="H232" i="1"/>
  <c r="G232" i="1"/>
  <c r="K231" i="1"/>
  <c r="J231" i="1"/>
  <c r="I231" i="1"/>
  <c r="H231" i="1"/>
  <c r="G231" i="1"/>
  <c r="K230" i="1"/>
  <c r="J230" i="1"/>
  <c r="I230" i="1"/>
  <c r="H230" i="1"/>
  <c r="G230" i="1"/>
  <c r="K229" i="1"/>
  <c r="J229" i="1"/>
  <c r="I229" i="1"/>
  <c r="H229" i="1"/>
  <c r="G229" i="1"/>
  <c r="K228" i="1"/>
  <c r="J228" i="1"/>
  <c r="I228" i="1"/>
  <c r="H228" i="1"/>
  <c r="G228" i="1"/>
  <c r="K227" i="1"/>
  <c r="J227" i="1"/>
  <c r="I227" i="1"/>
  <c r="H227" i="1"/>
  <c r="G227" i="1"/>
  <c r="K226" i="1"/>
  <c r="J226" i="1"/>
  <c r="I226" i="1"/>
  <c r="H226" i="1"/>
  <c r="G226" i="1"/>
  <c r="K225" i="1"/>
  <c r="J225" i="1"/>
  <c r="I225" i="1"/>
  <c r="H225" i="1"/>
  <c r="G225" i="1"/>
  <c r="K224" i="1"/>
  <c r="J224" i="1"/>
  <c r="I224" i="1"/>
  <c r="H224" i="1"/>
  <c r="G224" i="1"/>
  <c r="K223" i="1"/>
  <c r="J223" i="1"/>
  <c r="I223" i="1"/>
  <c r="H223" i="1"/>
  <c r="G223" i="1"/>
  <c r="K222" i="1"/>
  <c r="J222" i="1"/>
  <c r="I222" i="1"/>
  <c r="H222" i="1"/>
  <c r="G222" i="1"/>
  <c r="K221" i="1"/>
  <c r="J221" i="1"/>
  <c r="I221" i="1"/>
  <c r="H221" i="1"/>
  <c r="G221" i="1"/>
  <c r="K220" i="1"/>
  <c r="J220" i="1"/>
  <c r="I220" i="1"/>
  <c r="H220" i="1"/>
  <c r="G220" i="1"/>
  <c r="K219" i="1"/>
  <c r="J219" i="1"/>
  <c r="I219" i="1"/>
  <c r="H219" i="1"/>
  <c r="G219" i="1"/>
  <c r="K218" i="1"/>
  <c r="J218" i="1"/>
  <c r="I218" i="1"/>
  <c r="H218" i="1"/>
  <c r="G218" i="1"/>
  <c r="K217" i="1"/>
  <c r="J217" i="1"/>
  <c r="I217" i="1"/>
  <c r="H217" i="1"/>
  <c r="G217" i="1"/>
  <c r="K216" i="1"/>
  <c r="J216" i="1"/>
  <c r="I216" i="1"/>
  <c r="H216" i="1"/>
  <c r="G216" i="1"/>
  <c r="K215" i="1"/>
  <c r="J215" i="1"/>
  <c r="I215" i="1"/>
  <c r="H215" i="1"/>
  <c r="G215" i="1"/>
  <c r="K214" i="1"/>
  <c r="J214" i="1"/>
  <c r="I214" i="1"/>
  <c r="H214" i="1"/>
  <c r="G214" i="1"/>
  <c r="K213" i="1"/>
  <c r="J213" i="1"/>
  <c r="I213" i="1"/>
  <c r="H213" i="1"/>
  <c r="G213" i="1"/>
  <c r="K212" i="1"/>
  <c r="J212" i="1"/>
  <c r="I212" i="1"/>
  <c r="H212" i="1"/>
  <c r="G212" i="1"/>
  <c r="K211" i="1"/>
  <c r="J211" i="1"/>
  <c r="I211" i="1"/>
  <c r="H211" i="1"/>
  <c r="G211" i="1"/>
  <c r="K210" i="1"/>
  <c r="J210" i="1"/>
  <c r="I210" i="1"/>
  <c r="H210" i="1"/>
  <c r="G210" i="1"/>
  <c r="K209" i="1"/>
  <c r="J209" i="1"/>
  <c r="I209" i="1"/>
  <c r="H209" i="1"/>
  <c r="G209" i="1"/>
  <c r="K208" i="1"/>
  <c r="J208" i="1"/>
  <c r="I208" i="1"/>
  <c r="H208" i="1"/>
  <c r="G208" i="1"/>
  <c r="K207" i="1"/>
  <c r="J207" i="1"/>
  <c r="I207" i="1"/>
  <c r="H207" i="1"/>
  <c r="G207" i="1"/>
  <c r="K206" i="1"/>
  <c r="J206" i="1"/>
  <c r="I206" i="1"/>
  <c r="H206" i="1"/>
  <c r="G206" i="1"/>
  <c r="K205" i="1"/>
  <c r="J205" i="1"/>
  <c r="I205" i="1"/>
  <c r="H205" i="1"/>
  <c r="G205" i="1"/>
  <c r="K204" i="1"/>
  <c r="J204" i="1"/>
  <c r="I204" i="1"/>
  <c r="H204" i="1"/>
  <c r="G204" i="1"/>
  <c r="K203" i="1"/>
  <c r="J203" i="1"/>
  <c r="I203" i="1"/>
  <c r="H203" i="1"/>
  <c r="G203" i="1"/>
  <c r="K202" i="1"/>
  <c r="J202" i="1"/>
  <c r="I202" i="1"/>
  <c r="H202" i="1"/>
  <c r="G202" i="1"/>
  <c r="K201" i="1"/>
  <c r="J201" i="1"/>
  <c r="I201" i="1"/>
  <c r="H201" i="1"/>
  <c r="G201" i="1"/>
  <c r="K200" i="1"/>
  <c r="J200" i="1"/>
  <c r="I200" i="1"/>
  <c r="H200" i="1"/>
  <c r="G200" i="1"/>
  <c r="K199" i="1"/>
  <c r="J199" i="1"/>
  <c r="I199" i="1"/>
  <c r="H199" i="1"/>
  <c r="G199" i="1"/>
  <c r="K198" i="1"/>
  <c r="J198" i="1"/>
  <c r="I198" i="1"/>
  <c r="H198" i="1"/>
  <c r="G198" i="1"/>
  <c r="K197" i="1"/>
  <c r="J197" i="1"/>
  <c r="I197" i="1"/>
  <c r="H197" i="1"/>
  <c r="G197" i="1"/>
  <c r="K196" i="1"/>
  <c r="J196" i="1"/>
  <c r="I196" i="1"/>
  <c r="H196" i="1"/>
  <c r="G196" i="1"/>
  <c r="K195" i="1"/>
  <c r="J195" i="1"/>
  <c r="I195" i="1"/>
  <c r="H195" i="1"/>
  <c r="G195" i="1"/>
  <c r="K194" i="1"/>
  <c r="J194" i="1"/>
  <c r="I194" i="1"/>
  <c r="H194" i="1"/>
  <c r="G194" i="1"/>
  <c r="K193" i="1"/>
  <c r="J193" i="1"/>
  <c r="I193" i="1"/>
  <c r="H193" i="1"/>
  <c r="G193" i="1"/>
  <c r="K192" i="1"/>
  <c r="J192" i="1"/>
  <c r="I192" i="1"/>
  <c r="H192" i="1"/>
  <c r="G192" i="1"/>
  <c r="K191" i="1"/>
  <c r="J191" i="1"/>
  <c r="I191" i="1"/>
  <c r="H191" i="1"/>
  <c r="G191" i="1"/>
  <c r="K190" i="1"/>
  <c r="J190" i="1"/>
  <c r="I190" i="1"/>
  <c r="H190" i="1"/>
  <c r="G190" i="1"/>
  <c r="K189" i="1"/>
  <c r="J189" i="1"/>
  <c r="I189" i="1"/>
  <c r="H189" i="1"/>
  <c r="G189" i="1"/>
  <c r="K188" i="1"/>
  <c r="J188" i="1"/>
  <c r="I188" i="1"/>
  <c r="H188" i="1"/>
  <c r="G188" i="1"/>
  <c r="K187" i="1"/>
  <c r="J187" i="1"/>
  <c r="I187" i="1"/>
  <c r="H187" i="1"/>
  <c r="G187" i="1"/>
  <c r="K186" i="1"/>
  <c r="J186" i="1"/>
  <c r="I186" i="1"/>
  <c r="H186" i="1"/>
  <c r="G186" i="1"/>
  <c r="K185" i="1"/>
  <c r="J185" i="1"/>
  <c r="I185" i="1"/>
  <c r="H185" i="1"/>
  <c r="G185" i="1"/>
  <c r="K184" i="1"/>
  <c r="J184" i="1"/>
  <c r="I184" i="1"/>
  <c r="H184" i="1"/>
  <c r="G184" i="1"/>
  <c r="K183" i="1"/>
  <c r="J183" i="1"/>
  <c r="I183" i="1"/>
  <c r="H183" i="1"/>
  <c r="G183" i="1"/>
  <c r="K182" i="1"/>
  <c r="J182" i="1"/>
  <c r="I182" i="1"/>
  <c r="H182" i="1"/>
  <c r="G182" i="1"/>
  <c r="K181" i="1"/>
  <c r="J181" i="1"/>
  <c r="I181" i="1"/>
  <c r="H181" i="1"/>
  <c r="G181" i="1"/>
  <c r="K180" i="1"/>
  <c r="J180" i="1"/>
  <c r="I180" i="1"/>
  <c r="H180" i="1"/>
  <c r="G180" i="1"/>
  <c r="K179" i="1"/>
  <c r="J179" i="1"/>
  <c r="I179" i="1"/>
  <c r="H179" i="1"/>
  <c r="G179" i="1"/>
  <c r="K178" i="1"/>
  <c r="J178" i="1"/>
  <c r="I178" i="1"/>
  <c r="H178" i="1"/>
  <c r="G178" i="1"/>
  <c r="K177" i="1"/>
  <c r="J177" i="1"/>
  <c r="I177" i="1"/>
  <c r="H177" i="1"/>
  <c r="G177" i="1"/>
  <c r="K176" i="1"/>
  <c r="J176" i="1"/>
  <c r="I176" i="1"/>
  <c r="H176" i="1"/>
  <c r="G176" i="1"/>
  <c r="K175" i="1"/>
  <c r="J175" i="1"/>
  <c r="I175" i="1"/>
  <c r="H175" i="1"/>
  <c r="G175" i="1"/>
  <c r="K174" i="1"/>
  <c r="J174" i="1"/>
  <c r="I174" i="1"/>
  <c r="H174" i="1"/>
  <c r="G174" i="1"/>
  <c r="K173" i="1"/>
  <c r="J173" i="1"/>
  <c r="I173" i="1"/>
  <c r="H173" i="1"/>
  <c r="G173" i="1"/>
  <c r="K172" i="1"/>
  <c r="J172" i="1"/>
  <c r="I172" i="1"/>
  <c r="H172" i="1"/>
  <c r="G172" i="1"/>
  <c r="K171" i="1"/>
  <c r="J171" i="1"/>
  <c r="I171" i="1"/>
  <c r="H171" i="1"/>
  <c r="G171" i="1"/>
  <c r="K170" i="1"/>
  <c r="J170" i="1"/>
  <c r="I170" i="1"/>
  <c r="H170" i="1"/>
  <c r="G170" i="1"/>
  <c r="K169" i="1"/>
  <c r="J169" i="1"/>
  <c r="I169" i="1"/>
  <c r="H169" i="1"/>
  <c r="G169" i="1"/>
  <c r="K168" i="1"/>
  <c r="J168" i="1"/>
  <c r="I168" i="1"/>
  <c r="H168" i="1"/>
  <c r="G168" i="1"/>
  <c r="K167" i="1"/>
  <c r="J167" i="1"/>
  <c r="I167" i="1"/>
  <c r="H167" i="1"/>
  <c r="G167" i="1"/>
  <c r="K166" i="1"/>
  <c r="J166" i="1"/>
  <c r="I166" i="1"/>
  <c r="H166" i="1"/>
  <c r="G166" i="1"/>
  <c r="K165" i="1"/>
  <c r="J165" i="1"/>
  <c r="I165" i="1"/>
  <c r="H165" i="1"/>
  <c r="G165" i="1"/>
  <c r="K164" i="1"/>
  <c r="J164" i="1"/>
  <c r="I164" i="1"/>
  <c r="H164" i="1"/>
  <c r="G164" i="1"/>
  <c r="K163" i="1"/>
  <c r="J163" i="1"/>
  <c r="I163" i="1"/>
  <c r="H163" i="1"/>
  <c r="G163" i="1"/>
  <c r="K162" i="1"/>
  <c r="J162" i="1"/>
  <c r="I162" i="1"/>
  <c r="H162" i="1"/>
  <c r="G162" i="1"/>
  <c r="K161" i="1"/>
  <c r="J161" i="1"/>
  <c r="I161" i="1"/>
  <c r="H161" i="1"/>
  <c r="G161" i="1"/>
  <c r="K160" i="1"/>
  <c r="J160" i="1"/>
  <c r="I160" i="1"/>
  <c r="H160" i="1"/>
  <c r="G160" i="1"/>
  <c r="K159" i="1"/>
  <c r="J159" i="1"/>
  <c r="I159" i="1"/>
  <c r="H159" i="1"/>
  <c r="G159" i="1"/>
  <c r="K158" i="1"/>
  <c r="J158" i="1"/>
  <c r="I158" i="1"/>
  <c r="H158" i="1"/>
  <c r="G158" i="1"/>
  <c r="K157" i="1"/>
  <c r="J157" i="1"/>
  <c r="I157" i="1"/>
  <c r="H157" i="1"/>
  <c r="G157" i="1"/>
  <c r="K156" i="1"/>
  <c r="J156" i="1"/>
  <c r="I156" i="1"/>
  <c r="H156" i="1"/>
  <c r="G156" i="1"/>
  <c r="K155" i="1"/>
  <c r="J155" i="1"/>
  <c r="I155" i="1"/>
  <c r="H155" i="1"/>
  <c r="G155" i="1"/>
  <c r="K154" i="1"/>
  <c r="J154" i="1"/>
  <c r="I154" i="1"/>
  <c r="H154" i="1"/>
  <c r="G154" i="1"/>
  <c r="K153" i="1"/>
  <c r="J153" i="1"/>
  <c r="I153" i="1"/>
  <c r="H153" i="1"/>
  <c r="G153" i="1"/>
  <c r="K152" i="1"/>
  <c r="J152" i="1"/>
  <c r="I152" i="1"/>
  <c r="H152" i="1"/>
  <c r="G152" i="1"/>
  <c r="K151" i="1"/>
  <c r="J151" i="1"/>
  <c r="I151" i="1"/>
  <c r="H151" i="1"/>
  <c r="G151" i="1"/>
  <c r="K150" i="1"/>
  <c r="J150" i="1"/>
  <c r="I150" i="1"/>
  <c r="H150" i="1"/>
  <c r="G150" i="1"/>
  <c r="K149" i="1"/>
  <c r="J149" i="1"/>
  <c r="I149" i="1"/>
  <c r="H149" i="1"/>
  <c r="G149" i="1"/>
  <c r="K148" i="1"/>
  <c r="J148" i="1"/>
  <c r="I148" i="1"/>
  <c r="H148" i="1"/>
  <c r="G148" i="1"/>
  <c r="K147" i="1"/>
  <c r="J147" i="1"/>
  <c r="I147" i="1"/>
  <c r="H147" i="1"/>
  <c r="G147" i="1"/>
  <c r="K146" i="1"/>
  <c r="J146" i="1"/>
  <c r="I146" i="1"/>
  <c r="H146" i="1"/>
  <c r="G146" i="1"/>
  <c r="K145" i="1"/>
  <c r="J145" i="1"/>
  <c r="I145" i="1"/>
  <c r="H145" i="1"/>
  <c r="G145" i="1"/>
  <c r="K144" i="1"/>
  <c r="J144" i="1"/>
  <c r="I144" i="1"/>
  <c r="H144" i="1"/>
  <c r="G144" i="1"/>
  <c r="K143" i="1"/>
  <c r="J143" i="1"/>
  <c r="I143" i="1"/>
  <c r="H143" i="1"/>
  <c r="G143" i="1"/>
  <c r="K142" i="1"/>
  <c r="J142" i="1"/>
  <c r="I142" i="1"/>
  <c r="H142" i="1"/>
  <c r="G142" i="1"/>
  <c r="K141" i="1"/>
  <c r="J141" i="1"/>
  <c r="I141" i="1"/>
  <c r="H141" i="1"/>
  <c r="G141" i="1"/>
  <c r="K140" i="1"/>
  <c r="J140" i="1"/>
  <c r="I140" i="1"/>
  <c r="H140" i="1"/>
  <c r="G140" i="1"/>
  <c r="K139" i="1"/>
  <c r="J139" i="1"/>
  <c r="I139" i="1"/>
  <c r="H139" i="1"/>
  <c r="G139" i="1"/>
  <c r="K138" i="1"/>
  <c r="J138" i="1"/>
  <c r="I138" i="1"/>
  <c r="H138" i="1"/>
  <c r="G138" i="1"/>
  <c r="K137" i="1"/>
  <c r="J137" i="1"/>
  <c r="I137" i="1"/>
  <c r="H137" i="1"/>
  <c r="G137" i="1"/>
  <c r="K136" i="1"/>
  <c r="J136" i="1"/>
  <c r="I136" i="1"/>
  <c r="H136" i="1"/>
  <c r="G136" i="1"/>
  <c r="K135" i="1"/>
  <c r="J135" i="1"/>
  <c r="I135" i="1"/>
  <c r="H135" i="1"/>
  <c r="G135" i="1"/>
  <c r="K134" i="1"/>
  <c r="J134" i="1"/>
  <c r="I134" i="1"/>
  <c r="H134" i="1"/>
  <c r="G134" i="1"/>
  <c r="K133" i="1"/>
  <c r="J133" i="1"/>
  <c r="I133" i="1"/>
  <c r="H133" i="1"/>
  <c r="G133" i="1"/>
  <c r="K132" i="1"/>
  <c r="J132" i="1"/>
  <c r="I132" i="1"/>
  <c r="H132" i="1"/>
  <c r="G132" i="1"/>
  <c r="K131" i="1"/>
  <c r="J131" i="1"/>
  <c r="I131" i="1"/>
  <c r="H131" i="1"/>
  <c r="G131" i="1"/>
  <c r="K130" i="1"/>
  <c r="J130" i="1"/>
  <c r="I130" i="1"/>
  <c r="H130" i="1"/>
  <c r="G130" i="1"/>
  <c r="K129" i="1"/>
  <c r="J129" i="1"/>
  <c r="I129" i="1"/>
  <c r="H129" i="1"/>
  <c r="G129" i="1"/>
  <c r="K128" i="1"/>
  <c r="J128" i="1"/>
  <c r="I128" i="1"/>
  <c r="H128" i="1"/>
  <c r="G128" i="1"/>
  <c r="K127" i="1"/>
  <c r="J127" i="1"/>
  <c r="I127" i="1"/>
  <c r="H127" i="1"/>
  <c r="G127" i="1"/>
  <c r="K126" i="1"/>
  <c r="J126" i="1"/>
  <c r="I126" i="1"/>
  <c r="H126" i="1"/>
  <c r="G126" i="1"/>
  <c r="K125" i="1"/>
  <c r="J125" i="1"/>
  <c r="I125" i="1"/>
  <c r="H125" i="1"/>
  <c r="G125" i="1"/>
  <c r="K124" i="1"/>
  <c r="J124" i="1"/>
  <c r="I124" i="1"/>
  <c r="H124" i="1"/>
  <c r="G124" i="1"/>
  <c r="K123" i="1"/>
  <c r="J123" i="1"/>
  <c r="I123" i="1"/>
  <c r="H123" i="1"/>
  <c r="G123" i="1"/>
  <c r="K122" i="1"/>
  <c r="J122" i="1"/>
  <c r="I122" i="1"/>
  <c r="H122" i="1"/>
  <c r="G122" i="1"/>
  <c r="K121" i="1"/>
  <c r="J121" i="1"/>
  <c r="I121" i="1"/>
  <c r="H121" i="1"/>
  <c r="G121" i="1"/>
  <c r="K120" i="1"/>
  <c r="J120" i="1"/>
  <c r="I120" i="1"/>
  <c r="H120" i="1"/>
  <c r="G120" i="1"/>
  <c r="K119" i="1"/>
  <c r="J119" i="1"/>
  <c r="I119" i="1"/>
  <c r="H119" i="1"/>
  <c r="G119" i="1"/>
  <c r="K118" i="1"/>
  <c r="J118" i="1"/>
  <c r="I118" i="1"/>
  <c r="H118" i="1"/>
  <c r="G118" i="1"/>
  <c r="K117" i="1"/>
  <c r="J117" i="1"/>
  <c r="I117" i="1"/>
  <c r="H117" i="1"/>
  <c r="G117" i="1"/>
  <c r="K116" i="1"/>
  <c r="J116" i="1"/>
  <c r="I116" i="1"/>
  <c r="H116" i="1"/>
  <c r="G116" i="1"/>
  <c r="K115" i="1"/>
  <c r="J115" i="1"/>
  <c r="I115" i="1"/>
  <c r="H115" i="1"/>
  <c r="G115" i="1"/>
  <c r="K114" i="1"/>
  <c r="J114" i="1"/>
  <c r="I114" i="1"/>
  <c r="H114" i="1"/>
  <c r="G114" i="1"/>
  <c r="K113" i="1"/>
  <c r="J113" i="1"/>
  <c r="I113" i="1"/>
  <c r="H113" i="1"/>
  <c r="G113" i="1"/>
  <c r="K112" i="1"/>
  <c r="J112" i="1"/>
  <c r="I112" i="1"/>
  <c r="H112" i="1"/>
  <c r="G112" i="1"/>
  <c r="K111" i="1"/>
  <c r="J111" i="1"/>
  <c r="I111" i="1"/>
  <c r="H111" i="1"/>
  <c r="G111" i="1"/>
  <c r="K110" i="1"/>
  <c r="J110" i="1"/>
  <c r="I110" i="1"/>
  <c r="H110" i="1"/>
  <c r="G110" i="1"/>
  <c r="K109" i="1"/>
  <c r="J109" i="1"/>
  <c r="I109" i="1"/>
  <c r="H109" i="1"/>
  <c r="G109" i="1"/>
  <c r="K108" i="1"/>
  <c r="J108" i="1"/>
  <c r="I108" i="1"/>
  <c r="H108" i="1"/>
  <c r="G108" i="1"/>
  <c r="K107" i="1"/>
  <c r="J107" i="1"/>
  <c r="I107" i="1"/>
  <c r="H107" i="1"/>
  <c r="G107" i="1"/>
  <c r="K106" i="1"/>
  <c r="J106" i="1"/>
  <c r="I106" i="1"/>
  <c r="H106" i="1"/>
  <c r="G106" i="1"/>
  <c r="K105" i="1"/>
  <c r="J105" i="1"/>
  <c r="I105" i="1"/>
  <c r="H105" i="1"/>
  <c r="G105" i="1"/>
  <c r="K104" i="1"/>
  <c r="J104" i="1"/>
  <c r="I104" i="1"/>
  <c r="H104" i="1"/>
  <c r="G104" i="1"/>
  <c r="K103" i="1"/>
  <c r="J103" i="1"/>
  <c r="I103" i="1"/>
  <c r="H103" i="1"/>
  <c r="G103" i="1"/>
  <c r="K102" i="1"/>
  <c r="J102" i="1"/>
  <c r="I102" i="1"/>
  <c r="H102" i="1"/>
  <c r="G102" i="1"/>
  <c r="K101" i="1"/>
  <c r="J101" i="1"/>
  <c r="I101" i="1"/>
  <c r="H101" i="1"/>
  <c r="G101" i="1"/>
  <c r="K100" i="1"/>
  <c r="J100" i="1"/>
  <c r="I100" i="1"/>
  <c r="H100" i="1"/>
  <c r="G100" i="1"/>
  <c r="K99" i="1"/>
  <c r="J99" i="1"/>
  <c r="I99" i="1"/>
  <c r="H99" i="1"/>
  <c r="G99" i="1"/>
  <c r="K98" i="1"/>
  <c r="J98" i="1"/>
  <c r="I98" i="1"/>
  <c r="H98" i="1"/>
  <c r="G98" i="1"/>
  <c r="K97" i="1"/>
  <c r="J97" i="1"/>
  <c r="I97" i="1"/>
  <c r="H97" i="1"/>
  <c r="G97" i="1"/>
  <c r="K96" i="1"/>
  <c r="J96" i="1"/>
  <c r="I96" i="1"/>
  <c r="H96" i="1"/>
  <c r="G96" i="1"/>
  <c r="K95" i="1"/>
  <c r="J95" i="1"/>
  <c r="I95" i="1"/>
  <c r="H95" i="1"/>
  <c r="G95" i="1"/>
  <c r="K94" i="1"/>
  <c r="J94" i="1"/>
  <c r="I94" i="1"/>
  <c r="H94" i="1"/>
  <c r="G94" i="1"/>
  <c r="K93" i="1"/>
  <c r="J93" i="1"/>
  <c r="I93" i="1"/>
  <c r="H93" i="1"/>
  <c r="G93" i="1"/>
  <c r="K92" i="1"/>
  <c r="J92" i="1"/>
  <c r="I92" i="1"/>
  <c r="H92" i="1"/>
  <c r="G92" i="1"/>
  <c r="K91" i="1"/>
  <c r="J91" i="1"/>
  <c r="I91" i="1"/>
  <c r="H91" i="1"/>
  <c r="G91" i="1"/>
  <c r="K90" i="1"/>
  <c r="J90" i="1"/>
  <c r="I90" i="1"/>
  <c r="H90" i="1"/>
  <c r="G90" i="1"/>
  <c r="K89" i="1"/>
  <c r="J89" i="1"/>
  <c r="I89" i="1"/>
  <c r="H89" i="1"/>
  <c r="G89" i="1"/>
  <c r="K88" i="1"/>
  <c r="J88" i="1"/>
  <c r="I88" i="1"/>
  <c r="H88" i="1"/>
  <c r="G88" i="1"/>
  <c r="K87" i="1"/>
  <c r="J87" i="1"/>
  <c r="I87" i="1"/>
  <c r="H87" i="1"/>
  <c r="G87" i="1"/>
  <c r="K86" i="1"/>
  <c r="J86" i="1"/>
  <c r="I86" i="1"/>
  <c r="H86" i="1"/>
  <c r="G86" i="1"/>
  <c r="K85" i="1"/>
  <c r="J85" i="1"/>
  <c r="I85" i="1"/>
  <c r="H85" i="1"/>
  <c r="G85" i="1"/>
  <c r="K84" i="1"/>
  <c r="J84" i="1"/>
  <c r="I84" i="1"/>
  <c r="H84" i="1"/>
  <c r="G84" i="1"/>
  <c r="K83" i="1"/>
  <c r="J83" i="1"/>
  <c r="I83" i="1"/>
  <c r="H83" i="1"/>
  <c r="G83" i="1"/>
  <c r="K82" i="1"/>
  <c r="J82" i="1"/>
  <c r="I82" i="1"/>
  <c r="H82" i="1"/>
  <c r="G82" i="1"/>
  <c r="K81" i="1"/>
  <c r="J81" i="1"/>
  <c r="I81" i="1"/>
  <c r="H81" i="1"/>
  <c r="G81" i="1"/>
  <c r="K80" i="1"/>
  <c r="J80" i="1"/>
  <c r="I80" i="1"/>
  <c r="H80" i="1"/>
  <c r="G80" i="1"/>
  <c r="K79" i="1"/>
  <c r="J79" i="1"/>
  <c r="I79" i="1"/>
  <c r="H79" i="1"/>
  <c r="G79" i="1"/>
  <c r="K78" i="1"/>
  <c r="J78" i="1"/>
  <c r="I78" i="1"/>
  <c r="H78" i="1"/>
  <c r="G78" i="1"/>
  <c r="K77" i="1"/>
  <c r="J77" i="1"/>
  <c r="I77" i="1"/>
  <c r="H77" i="1"/>
  <c r="G77" i="1"/>
  <c r="K76" i="1"/>
  <c r="J76" i="1"/>
  <c r="I76" i="1"/>
  <c r="H76" i="1"/>
  <c r="G76" i="1"/>
  <c r="K75" i="1"/>
  <c r="J75" i="1"/>
  <c r="I75" i="1"/>
  <c r="H75" i="1"/>
  <c r="G75" i="1"/>
  <c r="K74" i="1"/>
  <c r="J74" i="1"/>
  <c r="I74" i="1"/>
  <c r="H74" i="1"/>
  <c r="G74" i="1"/>
  <c r="K73" i="1"/>
  <c r="J73" i="1"/>
  <c r="I73" i="1"/>
  <c r="H73" i="1"/>
  <c r="G73" i="1"/>
  <c r="K72" i="1"/>
  <c r="J72" i="1"/>
  <c r="I72" i="1"/>
  <c r="H72" i="1"/>
  <c r="G72" i="1"/>
  <c r="K71" i="1"/>
  <c r="J71" i="1"/>
  <c r="I71" i="1"/>
  <c r="H71" i="1"/>
  <c r="G71" i="1"/>
  <c r="K70" i="1"/>
  <c r="J70" i="1"/>
  <c r="I70" i="1"/>
  <c r="H70" i="1"/>
  <c r="G70" i="1"/>
  <c r="K69" i="1"/>
  <c r="J69" i="1"/>
  <c r="I69" i="1"/>
  <c r="H69" i="1"/>
  <c r="G69" i="1"/>
  <c r="K68" i="1"/>
  <c r="J68" i="1"/>
  <c r="I68" i="1"/>
  <c r="H68" i="1"/>
  <c r="G68" i="1"/>
  <c r="K67" i="1"/>
  <c r="J67" i="1"/>
  <c r="I67" i="1"/>
  <c r="H67" i="1"/>
  <c r="G67" i="1"/>
  <c r="K66" i="1"/>
  <c r="J66" i="1"/>
  <c r="I66" i="1"/>
  <c r="H66" i="1"/>
  <c r="G66" i="1"/>
  <c r="K65" i="1"/>
  <c r="J65" i="1"/>
  <c r="I65" i="1"/>
  <c r="H65" i="1"/>
  <c r="G65" i="1"/>
  <c r="K64" i="1"/>
  <c r="J64" i="1"/>
  <c r="I64" i="1"/>
  <c r="H64" i="1"/>
  <c r="G64" i="1"/>
  <c r="K63" i="1"/>
  <c r="J63" i="1"/>
  <c r="I63" i="1"/>
  <c r="H63" i="1"/>
  <c r="G63" i="1"/>
  <c r="K62" i="1"/>
  <c r="J62" i="1"/>
  <c r="I62" i="1"/>
  <c r="H62" i="1"/>
  <c r="G62" i="1"/>
  <c r="K61" i="1"/>
  <c r="J61" i="1"/>
  <c r="I61" i="1"/>
  <c r="H61" i="1"/>
  <c r="G61" i="1"/>
  <c r="K60" i="1"/>
  <c r="J60" i="1"/>
  <c r="I60" i="1"/>
  <c r="H60" i="1"/>
  <c r="G60" i="1"/>
  <c r="K59" i="1"/>
  <c r="J59" i="1"/>
  <c r="I59" i="1"/>
  <c r="H59" i="1"/>
  <c r="G59" i="1"/>
  <c r="K58" i="1"/>
  <c r="J58" i="1"/>
  <c r="I58" i="1"/>
  <c r="H58" i="1"/>
  <c r="G58" i="1"/>
  <c r="K57" i="1"/>
  <c r="J57" i="1"/>
  <c r="I57" i="1"/>
  <c r="H57" i="1"/>
  <c r="G57" i="1"/>
  <c r="K56" i="1"/>
  <c r="J56" i="1"/>
  <c r="I56" i="1"/>
  <c r="H56" i="1"/>
  <c r="G56" i="1"/>
  <c r="K55" i="1"/>
  <c r="J55" i="1"/>
  <c r="I55" i="1"/>
  <c r="H55" i="1"/>
  <c r="G55" i="1"/>
  <c r="K54" i="1"/>
  <c r="J54" i="1"/>
  <c r="I54" i="1"/>
  <c r="H54" i="1"/>
  <c r="G54" i="1"/>
  <c r="K53" i="1"/>
  <c r="J53" i="1"/>
  <c r="I53" i="1"/>
  <c r="H53" i="1"/>
  <c r="G53" i="1"/>
  <c r="K52" i="1"/>
  <c r="J52" i="1"/>
  <c r="I52" i="1"/>
  <c r="H52" i="1"/>
  <c r="G52" i="1"/>
  <c r="K51" i="1"/>
  <c r="J51" i="1"/>
  <c r="I51" i="1"/>
  <c r="H51" i="1"/>
  <c r="G51" i="1"/>
  <c r="K50" i="1"/>
  <c r="J50" i="1"/>
  <c r="I50" i="1"/>
  <c r="H50" i="1"/>
  <c r="G50" i="1"/>
  <c r="K49" i="1"/>
  <c r="J49" i="1"/>
  <c r="I49" i="1"/>
  <c r="H49" i="1"/>
  <c r="G49" i="1"/>
  <c r="K48" i="1"/>
  <c r="J48" i="1"/>
  <c r="I48" i="1"/>
  <c r="H48" i="1"/>
  <c r="G48" i="1"/>
  <c r="K47" i="1"/>
  <c r="J47" i="1"/>
  <c r="I47" i="1"/>
  <c r="H47" i="1"/>
  <c r="G47" i="1"/>
  <c r="K46" i="1"/>
  <c r="J46" i="1"/>
  <c r="I46" i="1"/>
  <c r="H46" i="1"/>
  <c r="G46" i="1"/>
  <c r="K45" i="1"/>
  <c r="J45" i="1"/>
  <c r="I45" i="1"/>
  <c r="H45" i="1"/>
  <c r="G45" i="1"/>
  <c r="K44" i="1"/>
  <c r="J44" i="1"/>
  <c r="I44" i="1"/>
  <c r="H44" i="1"/>
  <c r="G44" i="1"/>
  <c r="K43" i="1"/>
  <c r="J43" i="1"/>
  <c r="I43" i="1"/>
  <c r="H43" i="1"/>
  <c r="G43" i="1"/>
  <c r="K42" i="1"/>
  <c r="J42" i="1"/>
  <c r="I42" i="1"/>
  <c r="H42" i="1"/>
  <c r="G42" i="1"/>
  <c r="K41" i="1"/>
  <c r="J41" i="1"/>
  <c r="I41" i="1"/>
  <c r="H41" i="1"/>
  <c r="G41" i="1"/>
  <c r="K40" i="1"/>
  <c r="J40" i="1"/>
  <c r="I40" i="1"/>
  <c r="H40" i="1"/>
  <c r="G40" i="1"/>
  <c r="K39" i="1"/>
  <c r="J39" i="1"/>
  <c r="I39" i="1"/>
  <c r="H39" i="1"/>
  <c r="G39" i="1"/>
  <c r="K38" i="1"/>
  <c r="J38" i="1"/>
  <c r="I38" i="1"/>
  <c r="H38" i="1"/>
  <c r="G38" i="1"/>
  <c r="K37" i="1"/>
  <c r="J37" i="1"/>
  <c r="I37" i="1"/>
  <c r="H37" i="1"/>
  <c r="G37" i="1"/>
  <c r="K36" i="1"/>
  <c r="J36" i="1"/>
  <c r="I36" i="1"/>
  <c r="H36" i="1"/>
  <c r="G36" i="1"/>
  <c r="K35" i="1"/>
  <c r="J35" i="1"/>
  <c r="I35" i="1"/>
  <c r="H35" i="1"/>
  <c r="G35" i="1"/>
  <c r="K34" i="1"/>
  <c r="J34" i="1"/>
  <c r="I34" i="1"/>
  <c r="H34" i="1"/>
  <c r="G34" i="1"/>
  <c r="K33" i="1"/>
  <c r="J33" i="1"/>
  <c r="I33" i="1"/>
  <c r="H33" i="1"/>
  <c r="G33" i="1"/>
  <c r="K32" i="1"/>
  <c r="J32" i="1"/>
  <c r="I32" i="1"/>
  <c r="H32" i="1"/>
  <c r="G32" i="1"/>
  <c r="K31" i="1"/>
  <c r="J31" i="1"/>
  <c r="I31" i="1"/>
  <c r="H31" i="1"/>
  <c r="G31" i="1"/>
  <c r="K30" i="1"/>
  <c r="J30" i="1"/>
  <c r="I30" i="1"/>
  <c r="H30" i="1"/>
  <c r="G30" i="1"/>
  <c r="K29" i="1"/>
  <c r="J29" i="1"/>
  <c r="I29" i="1"/>
  <c r="H29" i="1"/>
  <c r="G29" i="1"/>
  <c r="K28" i="1"/>
  <c r="J28" i="1"/>
  <c r="I28" i="1"/>
  <c r="H28" i="1"/>
  <c r="G28" i="1"/>
  <c r="K27" i="1"/>
  <c r="J27" i="1"/>
  <c r="I27" i="1"/>
  <c r="H27" i="1"/>
  <c r="G27" i="1"/>
  <c r="K26" i="1"/>
  <c r="J26" i="1"/>
  <c r="I26" i="1"/>
  <c r="H26" i="1"/>
  <c r="G26" i="1"/>
  <c r="K25" i="1"/>
  <c r="J25" i="1"/>
  <c r="I25" i="1"/>
  <c r="H25" i="1"/>
  <c r="G25" i="1"/>
  <c r="K24" i="1"/>
  <c r="J24" i="1"/>
  <c r="I24" i="1"/>
  <c r="H24" i="1"/>
  <c r="G24" i="1"/>
  <c r="K23" i="1"/>
  <c r="J23" i="1"/>
  <c r="I23" i="1"/>
  <c r="H23" i="1"/>
  <c r="G23" i="1"/>
  <c r="K22" i="1"/>
  <c r="J22" i="1"/>
  <c r="I22" i="1"/>
  <c r="H22" i="1"/>
  <c r="G22" i="1"/>
  <c r="K21" i="1"/>
  <c r="J21" i="1"/>
  <c r="I21" i="1"/>
  <c r="H21" i="1"/>
  <c r="G21" i="1"/>
  <c r="K20" i="1"/>
  <c r="J20" i="1"/>
  <c r="I20" i="1"/>
  <c r="H20" i="1"/>
  <c r="G20" i="1"/>
  <c r="K19" i="1"/>
  <c r="J19" i="1"/>
  <c r="I19" i="1"/>
  <c r="H19" i="1"/>
  <c r="G19" i="1"/>
  <c r="K18" i="1"/>
  <c r="J18" i="1"/>
  <c r="I18" i="1"/>
  <c r="H18" i="1"/>
  <c r="G18" i="1"/>
  <c r="K17" i="1"/>
  <c r="J17" i="1"/>
  <c r="I17" i="1"/>
  <c r="H17" i="1"/>
  <c r="G17" i="1"/>
  <c r="K16" i="1"/>
  <c r="J16" i="1"/>
  <c r="I16" i="1"/>
  <c r="H16" i="1"/>
  <c r="G16" i="1"/>
  <c r="K15" i="1"/>
  <c r="J15" i="1"/>
  <c r="I15" i="1"/>
  <c r="H15" i="1"/>
  <c r="G15" i="1"/>
  <c r="K14" i="1"/>
  <c r="J14" i="1"/>
  <c r="I14" i="1"/>
  <c r="H14" i="1"/>
  <c r="G14" i="1"/>
  <c r="K13" i="1"/>
  <c r="J13" i="1"/>
  <c r="I13" i="1"/>
  <c r="H13" i="1"/>
  <c r="G13" i="1"/>
  <c r="K12" i="1"/>
  <c r="J12" i="1"/>
  <c r="I12" i="1"/>
  <c r="H12" i="1"/>
  <c r="G12" i="1"/>
  <c r="K11" i="1"/>
  <c r="J11" i="1"/>
  <c r="I11" i="1"/>
  <c r="H11" i="1"/>
  <c r="G11" i="1"/>
  <c r="K10" i="1"/>
  <c r="J10" i="1"/>
  <c r="I10" i="1"/>
  <c r="H10" i="1"/>
  <c r="G10" i="1"/>
  <c r="K9" i="1"/>
  <c r="J9" i="1"/>
  <c r="I9" i="1"/>
  <c r="H9" i="1"/>
  <c r="G9" i="1"/>
  <c r="K8" i="1"/>
  <c r="J8" i="1"/>
  <c r="I8" i="1"/>
  <c r="H8" i="1"/>
  <c r="G8" i="1"/>
  <c r="K7" i="1"/>
  <c r="J7" i="1"/>
  <c r="I7" i="1"/>
  <c r="H7" i="1"/>
  <c r="G7" i="1"/>
  <c r="K6" i="1"/>
  <c r="J6" i="1"/>
  <c r="I6" i="1"/>
  <c r="H6" i="1"/>
  <c r="G6" i="1"/>
  <c r="K5" i="1"/>
  <c r="J5" i="1"/>
  <c r="I5" i="1"/>
  <c r="H5" i="1"/>
  <c r="G5" i="1"/>
  <c r="K4" i="1"/>
  <c r="J4" i="1"/>
  <c r="I4" i="1"/>
  <c r="H4" i="1"/>
  <c r="G4" i="1"/>
  <c r="K3" i="1"/>
  <c r="J3" i="1"/>
  <c r="I3" i="1"/>
  <c r="H3" i="1"/>
  <c r="G3" i="1"/>
  <c r="K2" i="1"/>
  <c r="J2" i="1"/>
  <c r="I2" i="1"/>
  <c r="H2" i="1"/>
  <c r="G2" i="1"/>
  <c r="K1" i="1"/>
  <c r="J1" i="1"/>
  <c r="I1" i="1"/>
  <c r="H1" i="1"/>
  <c r="G1" i="1"/>
  <c r="F775" i="1"/>
  <c r="E775" i="1"/>
  <c r="D775" i="1"/>
  <c r="F774" i="1"/>
  <c r="E774" i="1"/>
  <c r="D774" i="1"/>
  <c r="F773" i="1"/>
  <c r="E773" i="1"/>
  <c r="D773" i="1"/>
  <c r="F772" i="1"/>
  <c r="E772" i="1"/>
  <c r="D772" i="1"/>
  <c r="F771" i="1"/>
  <c r="E771" i="1"/>
  <c r="D771" i="1"/>
  <c r="F770" i="1"/>
  <c r="E770" i="1"/>
  <c r="D770" i="1"/>
  <c r="F769" i="1"/>
  <c r="E769" i="1"/>
  <c r="D769" i="1"/>
  <c r="F768" i="1"/>
  <c r="E768" i="1"/>
  <c r="D768" i="1"/>
  <c r="F767" i="1"/>
  <c r="E767" i="1"/>
  <c r="D767" i="1"/>
  <c r="F766" i="1"/>
  <c r="E766" i="1"/>
  <c r="D766" i="1"/>
  <c r="F765" i="1"/>
  <c r="E765" i="1"/>
  <c r="D765" i="1"/>
  <c r="F764" i="1"/>
  <c r="E764" i="1"/>
  <c r="D764" i="1"/>
  <c r="F763" i="1"/>
  <c r="E763" i="1"/>
  <c r="D763" i="1"/>
  <c r="F762" i="1"/>
  <c r="E762" i="1"/>
  <c r="D762" i="1"/>
  <c r="F761" i="1"/>
  <c r="E761" i="1"/>
  <c r="D761" i="1"/>
  <c r="F760" i="1"/>
  <c r="E760" i="1"/>
  <c r="D760" i="1"/>
  <c r="F759" i="1"/>
  <c r="E759" i="1"/>
  <c r="D759" i="1"/>
  <c r="F758" i="1"/>
  <c r="E758" i="1"/>
  <c r="D758" i="1"/>
  <c r="F757" i="1"/>
  <c r="E757" i="1"/>
  <c r="D757" i="1"/>
  <c r="F756" i="1"/>
  <c r="E756" i="1"/>
  <c r="D756" i="1"/>
  <c r="F755" i="1"/>
  <c r="E755" i="1"/>
  <c r="D755" i="1"/>
  <c r="F754" i="1"/>
  <c r="E754" i="1"/>
  <c r="D754" i="1"/>
  <c r="F753" i="1"/>
  <c r="E753" i="1"/>
  <c r="D753" i="1"/>
  <c r="F752" i="1"/>
  <c r="E752" i="1"/>
  <c r="D752" i="1"/>
  <c r="F751" i="1"/>
  <c r="E751" i="1"/>
  <c r="D751" i="1"/>
  <c r="F750" i="1"/>
  <c r="E750" i="1"/>
  <c r="D750" i="1"/>
  <c r="F749" i="1"/>
  <c r="E749" i="1"/>
  <c r="D749" i="1"/>
  <c r="F748" i="1"/>
  <c r="E748" i="1"/>
  <c r="D748" i="1"/>
  <c r="F747" i="1"/>
  <c r="E747" i="1"/>
  <c r="D747" i="1"/>
  <c r="F746" i="1"/>
  <c r="E746" i="1"/>
  <c r="D746" i="1"/>
  <c r="F745" i="1"/>
  <c r="E745" i="1"/>
  <c r="D745" i="1"/>
  <c r="F744" i="1"/>
  <c r="E744" i="1"/>
  <c r="D744" i="1"/>
  <c r="F743" i="1"/>
  <c r="E743" i="1"/>
  <c r="D743" i="1"/>
  <c r="F742" i="1"/>
  <c r="E742" i="1"/>
  <c r="D742" i="1"/>
  <c r="F741" i="1"/>
  <c r="E741" i="1"/>
  <c r="D741" i="1"/>
  <c r="F740" i="1"/>
  <c r="E740" i="1"/>
  <c r="D740" i="1"/>
  <c r="F739" i="1"/>
  <c r="E739" i="1"/>
  <c r="D739" i="1"/>
  <c r="F738" i="1"/>
  <c r="E738" i="1"/>
  <c r="D738" i="1"/>
  <c r="F737" i="1"/>
  <c r="E737" i="1"/>
  <c r="D737" i="1"/>
  <c r="F736" i="1"/>
  <c r="E736" i="1"/>
  <c r="D736" i="1"/>
  <c r="F735" i="1"/>
  <c r="E735" i="1"/>
  <c r="D735" i="1"/>
  <c r="F734" i="1"/>
  <c r="E734" i="1"/>
  <c r="D734" i="1"/>
  <c r="F733" i="1"/>
  <c r="E733" i="1"/>
  <c r="D733" i="1"/>
  <c r="F732" i="1"/>
  <c r="E732" i="1"/>
  <c r="D732" i="1"/>
  <c r="F731" i="1"/>
  <c r="E731" i="1"/>
  <c r="D731" i="1"/>
  <c r="F730" i="1"/>
  <c r="E730" i="1"/>
  <c r="D730" i="1"/>
  <c r="F729" i="1"/>
  <c r="E729" i="1"/>
  <c r="D729" i="1"/>
  <c r="F728" i="1"/>
  <c r="E728" i="1"/>
  <c r="D728" i="1"/>
  <c r="F727" i="1"/>
  <c r="E727" i="1"/>
  <c r="D727" i="1"/>
  <c r="F726" i="1"/>
  <c r="E726" i="1"/>
  <c r="D726" i="1"/>
  <c r="F725" i="1"/>
  <c r="E725" i="1"/>
  <c r="D725" i="1"/>
  <c r="F724" i="1"/>
  <c r="E724" i="1"/>
  <c r="D724" i="1"/>
  <c r="F723" i="1"/>
  <c r="E723" i="1"/>
  <c r="D723" i="1"/>
  <c r="F722" i="1"/>
  <c r="E722" i="1"/>
  <c r="D722" i="1"/>
  <c r="F721" i="1"/>
  <c r="E721" i="1"/>
  <c r="D721" i="1"/>
  <c r="F720" i="1"/>
  <c r="E720" i="1"/>
  <c r="D720" i="1"/>
  <c r="F719" i="1"/>
  <c r="E719" i="1"/>
  <c r="D719" i="1"/>
  <c r="F718" i="1"/>
  <c r="E718" i="1"/>
  <c r="D718" i="1"/>
  <c r="F717" i="1"/>
  <c r="E717" i="1"/>
  <c r="D717" i="1"/>
  <c r="F716" i="1"/>
  <c r="E716" i="1"/>
  <c r="D716" i="1"/>
  <c r="F715" i="1"/>
  <c r="E715" i="1"/>
  <c r="D715" i="1"/>
  <c r="F714" i="1"/>
  <c r="E714" i="1"/>
  <c r="D714" i="1"/>
  <c r="F713" i="1"/>
  <c r="E713" i="1"/>
  <c r="D713" i="1"/>
  <c r="F712" i="1"/>
  <c r="E712" i="1"/>
  <c r="D712" i="1"/>
  <c r="F711" i="1"/>
  <c r="E711" i="1"/>
  <c r="D711" i="1"/>
  <c r="F710" i="1"/>
  <c r="E710" i="1"/>
  <c r="D710" i="1"/>
  <c r="F709" i="1"/>
  <c r="E709" i="1"/>
  <c r="D709" i="1"/>
  <c r="F708" i="1"/>
  <c r="E708" i="1"/>
  <c r="D708" i="1"/>
  <c r="F707" i="1"/>
  <c r="E707" i="1"/>
  <c r="D707" i="1"/>
  <c r="F706" i="1"/>
  <c r="E706" i="1"/>
  <c r="D706" i="1"/>
  <c r="F705" i="1"/>
  <c r="E705" i="1"/>
  <c r="D705" i="1"/>
  <c r="F704" i="1"/>
  <c r="E704" i="1"/>
  <c r="D704" i="1"/>
  <c r="F703" i="1"/>
  <c r="E703" i="1"/>
  <c r="D703" i="1"/>
  <c r="F702" i="1"/>
  <c r="E702" i="1"/>
  <c r="D702" i="1"/>
  <c r="F701" i="1"/>
  <c r="E701" i="1"/>
  <c r="D701" i="1"/>
  <c r="F700" i="1"/>
  <c r="E700" i="1"/>
  <c r="D700" i="1"/>
  <c r="F699" i="1"/>
  <c r="E699" i="1"/>
  <c r="D699" i="1"/>
  <c r="F698" i="1"/>
  <c r="E698" i="1"/>
  <c r="D698" i="1"/>
  <c r="F697" i="1"/>
  <c r="E697" i="1"/>
  <c r="D697" i="1"/>
  <c r="F696" i="1"/>
  <c r="E696" i="1"/>
  <c r="D696" i="1"/>
  <c r="F695" i="1"/>
  <c r="E695" i="1"/>
  <c r="D695" i="1"/>
  <c r="F694" i="1"/>
  <c r="E694" i="1"/>
  <c r="D694" i="1"/>
  <c r="F693" i="1"/>
  <c r="E693" i="1"/>
  <c r="D693" i="1"/>
  <c r="F692" i="1"/>
  <c r="E692" i="1"/>
  <c r="D692" i="1"/>
  <c r="F691" i="1"/>
  <c r="E691" i="1"/>
  <c r="D691" i="1"/>
  <c r="F690" i="1"/>
  <c r="E690" i="1"/>
  <c r="D690" i="1"/>
  <c r="F689" i="1"/>
  <c r="E689" i="1"/>
  <c r="D689" i="1"/>
  <c r="F688" i="1"/>
  <c r="E688" i="1"/>
  <c r="D688" i="1"/>
  <c r="F687" i="1"/>
  <c r="E687" i="1"/>
  <c r="D687" i="1"/>
  <c r="F686" i="1"/>
  <c r="E686" i="1"/>
  <c r="D686" i="1"/>
  <c r="F685" i="1"/>
  <c r="E685" i="1"/>
  <c r="D685" i="1"/>
  <c r="F684" i="1"/>
  <c r="E684" i="1"/>
  <c r="D684" i="1"/>
  <c r="F683" i="1"/>
  <c r="E683" i="1"/>
  <c r="D683" i="1"/>
  <c r="F682" i="1"/>
  <c r="E682" i="1"/>
  <c r="D682" i="1"/>
  <c r="F681" i="1"/>
  <c r="E681" i="1"/>
  <c r="D681" i="1"/>
  <c r="F680" i="1"/>
  <c r="E680" i="1"/>
  <c r="D680" i="1"/>
  <c r="F679" i="1"/>
  <c r="E679" i="1"/>
  <c r="D679" i="1"/>
  <c r="F678" i="1"/>
  <c r="E678" i="1"/>
  <c r="D678" i="1"/>
  <c r="F677" i="1"/>
  <c r="E677" i="1"/>
  <c r="D677" i="1"/>
  <c r="F676" i="1"/>
  <c r="E676" i="1"/>
  <c r="D676" i="1"/>
  <c r="F675" i="1"/>
  <c r="E675" i="1"/>
  <c r="D675" i="1"/>
  <c r="F674" i="1"/>
  <c r="E674" i="1"/>
  <c r="D674" i="1"/>
  <c r="F673" i="1"/>
  <c r="E673" i="1"/>
  <c r="D673" i="1"/>
  <c r="F672" i="1"/>
  <c r="E672" i="1"/>
  <c r="D672" i="1"/>
  <c r="F671" i="1"/>
  <c r="E671" i="1"/>
  <c r="D671" i="1"/>
  <c r="F670" i="1"/>
  <c r="E670" i="1"/>
  <c r="D670" i="1"/>
  <c r="F669" i="1"/>
  <c r="E669" i="1"/>
  <c r="D669" i="1"/>
  <c r="F668" i="1"/>
  <c r="E668" i="1"/>
  <c r="D668" i="1"/>
  <c r="F667" i="1"/>
  <c r="E667" i="1"/>
  <c r="D667" i="1"/>
  <c r="F666" i="1"/>
  <c r="E666" i="1"/>
  <c r="D666" i="1"/>
  <c r="F665" i="1"/>
  <c r="E665" i="1"/>
  <c r="D665" i="1"/>
  <c r="F664" i="1"/>
  <c r="E664" i="1"/>
  <c r="D664" i="1"/>
  <c r="F663" i="1"/>
  <c r="E663" i="1"/>
  <c r="D663" i="1"/>
  <c r="F662" i="1"/>
  <c r="E662" i="1"/>
  <c r="D662" i="1"/>
  <c r="F661" i="1"/>
  <c r="E661" i="1"/>
  <c r="D661" i="1"/>
  <c r="F660" i="1"/>
  <c r="E660" i="1"/>
  <c r="D660" i="1"/>
  <c r="F659" i="1"/>
  <c r="E659" i="1"/>
  <c r="D659" i="1"/>
  <c r="F658" i="1"/>
  <c r="E658" i="1"/>
  <c r="D658" i="1"/>
  <c r="F657" i="1"/>
  <c r="E657" i="1"/>
  <c r="D657" i="1"/>
  <c r="F656" i="1"/>
  <c r="E656" i="1"/>
  <c r="D656" i="1"/>
  <c r="F655" i="1"/>
  <c r="E655" i="1"/>
  <c r="D655" i="1"/>
  <c r="F654" i="1"/>
  <c r="E654" i="1"/>
  <c r="D654" i="1"/>
  <c r="F653" i="1"/>
  <c r="E653" i="1"/>
  <c r="D653" i="1"/>
  <c r="F652" i="1"/>
  <c r="E652" i="1"/>
  <c r="D652" i="1"/>
  <c r="F651" i="1"/>
  <c r="E651" i="1"/>
  <c r="D651" i="1"/>
  <c r="F650" i="1"/>
  <c r="E650" i="1"/>
  <c r="D650" i="1"/>
  <c r="F649" i="1"/>
  <c r="E649" i="1"/>
  <c r="D649" i="1"/>
  <c r="F648" i="1"/>
  <c r="E648" i="1"/>
  <c r="D648" i="1"/>
  <c r="F647" i="1"/>
  <c r="E647" i="1"/>
  <c r="D647" i="1"/>
  <c r="F646" i="1"/>
  <c r="E646" i="1"/>
  <c r="D646" i="1"/>
  <c r="F645" i="1"/>
  <c r="E645" i="1"/>
  <c r="D645" i="1"/>
  <c r="F644" i="1"/>
  <c r="E644" i="1"/>
  <c r="D644" i="1"/>
  <c r="F643" i="1"/>
  <c r="E643" i="1"/>
  <c r="D643" i="1"/>
  <c r="F642" i="1"/>
  <c r="E642" i="1"/>
  <c r="D642" i="1"/>
  <c r="F641" i="1"/>
  <c r="E641" i="1"/>
  <c r="D641" i="1"/>
  <c r="F640" i="1"/>
  <c r="E640" i="1"/>
  <c r="D640" i="1"/>
  <c r="F639" i="1"/>
  <c r="E639" i="1"/>
  <c r="D639" i="1"/>
  <c r="F638" i="1"/>
  <c r="E638" i="1"/>
  <c r="D638" i="1"/>
  <c r="F637" i="1"/>
  <c r="E637" i="1"/>
  <c r="D637" i="1"/>
  <c r="F636" i="1"/>
  <c r="E636" i="1"/>
  <c r="D636" i="1"/>
  <c r="F635" i="1"/>
  <c r="E635" i="1"/>
  <c r="D635" i="1"/>
  <c r="F634" i="1"/>
  <c r="E634" i="1"/>
  <c r="D634" i="1"/>
  <c r="F633" i="1"/>
  <c r="E633" i="1"/>
  <c r="D633" i="1"/>
  <c r="F632" i="1"/>
  <c r="E632" i="1"/>
  <c r="D632" i="1"/>
  <c r="F631" i="1"/>
  <c r="E631" i="1"/>
  <c r="D631" i="1"/>
  <c r="F630" i="1"/>
  <c r="E630" i="1"/>
  <c r="D630" i="1"/>
  <c r="F629" i="1"/>
  <c r="E629" i="1"/>
  <c r="D629" i="1"/>
  <c r="F628" i="1"/>
  <c r="E628" i="1"/>
  <c r="D628" i="1"/>
  <c r="F627" i="1"/>
  <c r="E627" i="1"/>
  <c r="D627" i="1"/>
  <c r="F626" i="1"/>
  <c r="E626" i="1"/>
  <c r="D626" i="1"/>
  <c r="F625" i="1"/>
  <c r="E625" i="1"/>
  <c r="D625" i="1"/>
  <c r="F624" i="1"/>
  <c r="E624" i="1"/>
  <c r="D624" i="1"/>
  <c r="F623" i="1"/>
  <c r="E623" i="1"/>
  <c r="D623" i="1"/>
  <c r="F622" i="1"/>
  <c r="E622" i="1"/>
  <c r="D622" i="1"/>
  <c r="F621" i="1"/>
  <c r="E621" i="1"/>
  <c r="D621" i="1"/>
  <c r="F620" i="1"/>
  <c r="E620" i="1"/>
  <c r="D620" i="1"/>
  <c r="F619" i="1"/>
  <c r="E619" i="1"/>
  <c r="D619" i="1"/>
  <c r="F618" i="1"/>
  <c r="E618" i="1"/>
  <c r="D618" i="1"/>
  <c r="F617" i="1"/>
  <c r="E617" i="1"/>
  <c r="D617" i="1"/>
  <c r="F616" i="1"/>
  <c r="E616" i="1"/>
  <c r="D616" i="1"/>
  <c r="F615" i="1"/>
  <c r="E615" i="1"/>
  <c r="D615" i="1"/>
  <c r="F614" i="1"/>
  <c r="E614" i="1"/>
  <c r="D614" i="1"/>
  <c r="F613" i="1"/>
  <c r="E613" i="1"/>
  <c r="D613" i="1"/>
  <c r="F612" i="1"/>
  <c r="E612" i="1"/>
  <c r="D612" i="1"/>
  <c r="F611" i="1"/>
  <c r="E611" i="1"/>
  <c r="D611" i="1"/>
  <c r="F610" i="1"/>
  <c r="E610" i="1"/>
  <c r="D610" i="1"/>
  <c r="F609" i="1"/>
  <c r="E609" i="1"/>
  <c r="D609" i="1"/>
  <c r="F608" i="1"/>
  <c r="E608" i="1"/>
  <c r="D608" i="1"/>
  <c r="F607" i="1"/>
  <c r="E607" i="1"/>
  <c r="D607" i="1"/>
  <c r="F606" i="1"/>
  <c r="E606" i="1"/>
  <c r="D606" i="1"/>
  <c r="F605" i="1"/>
  <c r="E605" i="1"/>
  <c r="D605" i="1"/>
  <c r="F604" i="1"/>
  <c r="E604" i="1"/>
  <c r="D604" i="1"/>
  <c r="F603" i="1"/>
  <c r="E603" i="1"/>
  <c r="D603" i="1"/>
  <c r="F602" i="1"/>
  <c r="E602" i="1"/>
  <c r="D602" i="1"/>
  <c r="F601" i="1"/>
  <c r="E601" i="1"/>
  <c r="D601" i="1"/>
  <c r="F600" i="1"/>
  <c r="E600" i="1"/>
  <c r="D600" i="1"/>
  <c r="F599" i="1"/>
  <c r="E599" i="1"/>
  <c r="D599" i="1"/>
  <c r="F598" i="1"/>
  <c r="E598" i="1"/>
  <c r="D598" i="1"/>
  <c r="F597" i="1"/>
  <c r="E597" i="1"/>
  <c r="D597" i="1"/>
  <c r="F596" i="1"/>
  <c r="E596" i="1"/>
  <c r="D596" i="1"/>
  <c r="F595" i="1"/>
  <c r="E595" i="1"/>
  <c r="D595" i="1"/>
  <c r="F594" i="1"/>
  <c r="E594" i="1"/>
  <c r="D594" i="1"/>
  <c r="F593" i="1"/>
  <c r="E593" i="1"/>
  <c r="D593" i="1"/>
  <c r="F592" i="1"/>
  <c r="E592" i="1"/>
  <c r="D592" i="1"/>
  <c r="F591" i="1"/>
  <c r="E591" i="1"/>
  <c r="D591" i="1"/>
  <c r="F590" i="1"/>
  <c r="E590" i="1"/>
  <c r="D590" i="1"/>
  <c r="F589" i="1"/>
  <c r="E589" i="1"/>
  <c r="D589" i="1"/>
  <c r="F588" i="1"/>
  <c r="E588" i="1"/>
  <c r="D588" i="1"/>
  <c r="F587" i="1"/>
  <c r="E587" i="1"/>
  <c r="D587" i="1"/>
  <c r="F586" i="1"/>
  <c r="E586" i="1"/>
  <c r="D586" i="1"/>
  <c r="F585" i="1"/>
  <c r="E585" i="1"/>
  <c r="D585" i="1"/>
  <c r="F584" i="1"/>
  <c r="E584" i="1"/>
  <c r="D584" i="1"/>
  <c r="F583" i="1"/>
  <c r="E583" i="1"/>
  <c r="D583" i="1"/>
  <c r="F582" i="1"/>
  <c r="E582" i="1"/>
  <c r="D582" i="1"/>
  <c r="F581" i="1"/>
  <c r="E581" i="1"/>
  <c r="D581" i="1"/>
  <c r="F580" i="1"/>
  <c r="E580" i="1"/>
  <c r="D580" i="1"/>
  <c r="F579" i="1"/>
  <c r="E579" i="1"/>
  <c r="D579" i="1"/>
  <c r="F578" i="1"/>
  <c r="E578" i="1"/>
  <c r="D578" i="1"/>
  <c r="F577" i="1"/>
  <c r="E577" i="1"/>
  <c r="D577" i="1"/>
  <c r="F576" i="1"/>
  <c r="E576" i="1"/>
  <c r="D576" i="1"/>
  <c r="F575" i="1"/>
  <c r="E575" i="1"/>
  <c r="D575" i="1"/>
  <c r="F574" i="1"/>
  <c r="E574" i="1"/>
  <c r="D574" i="1"/>
  <c r="F573" i="1"/>
  <c r="E573" i="1"/>
  <c r="D573" i="1"/>
  <c r="F572" i="1"/>
  <c r="E572" i="1"/>
  <c r="D572" i="1"/>
  <c r="F571" i="1"/>
  <c r="E571" i="1"/>
  <c r="D571" i="1"/>
  <c r="F570" i="1"/>
  <c r="E570" i="1"/>
  <c r="D570" i="1"/>
  <c r="F569" i="1"/>
  <c r="E569" i="1"/>
  <c r="D569" i="1"/>
  <c r="F568" i="1"/>
  <c r="E568" i="1"/>
  <c r="D568" i="1"/>
  <c r="F567" i="1"/>
  <c r="E567" i="1"/>
  <c r="D567" i="1"/>
  <c r="F566" i="1"/>
  <c r="E566" i="1"/>
  <c r="D566" i="1"/>
  <c r="F565" i="1"/>
  <c r="E565" i="1"/>
  <c r="D565" i="1"/>
  <c r="F564" i="1"/>
  <c r="E564" i="1"/>
  <c r="D564" i="1"/>
  <c r="F563" i="1"/>
  <c r="E563" i="1"/>
  <c r="D563" i="1"/>
  <c r="F562" i="1"/>
  <c r="E562" i="1"/>
  <c r="D562" i="1"/>
  <c r="F561" i="1"/>
  <c r="E561" i="1"/>
  <c r="D561" i="1"/>
  <c r="F560" i="1"/>
  <c r="E560" i="1"/>
  <c r="D560" i="1"/>
  <c r="F559" i="1"/>
  <c r="E559" i="1"/>
  <c r="D559" i="1"/>
  <c r="F558" i="1"/>
  <c r="E558" i="1"/>
  <c r="D558" i="1"/>
  <c r="F557" i="1"/>
  <c r="E557" i="1"/>
  <c r="D557" i="1"/>
  <c r="F556" i="1"/>
  <c r="E556" i="1"/>
  <c r="D556" i="1"/>
  <c r="F555" i="1"/>
  <c r="E555" i="1"/>
  <c r="D555" i="1"/>
  <c r="F554" i="1"/>
  <c r="E554" i="1"/>
  <c r="D554" i="1"/>
  <c r="F553" i="1"/>
  <c r="E553" i="1"/>
  <c r="D553" i="1"/>
  <c r="F552" i="1"/>
  <c r="E552" i="1"/>
  <c r="D552" i="1"/>
  <c r="F551" i="1"/>
  <c r="E551" i="1"/>
  <c r="D551" i="1"/>
  <c r="F550" i="1"/>
  <c r="E550" i="1"/>
  <c r="D550" i="1"/>
  <c r="F549" i="1"/>
  <c r="E549" i="1"/>
  <c r="D549" i="1"/>
  <c r="F548" i="1"/>
  <c r="E548" i="1"/>
  <c r="D548" i="1"/>
  <c r="F547" i="1"/>
  <c r="E547" i="1"/>
  <c r="D547" i="1"/>
  <c r="F546" i="1"/>
  <c r="E546" i="1"/>
  <c r="D546" i="1"/>
  <c r="F545" i="1"/>
  <c r="E545" i="1"/>
  <c r="D545" i="1"/>
  <c r="F544" i="1"/>
  <c r="E544" i="1"/>
  <c r="D544" i="1"/>
  <c r="F543" i="1"/>
  <c r="E543" i="1"/>
  <c r="D543" i="1"/>
  <c r="F542" i="1"/>
  <c r="E542" i="1"/>
  <c r="D542" i="1"/>
  <c r="F541" i="1"/>
  <c r="E541" i="1"/>
  <c r="D541" i="1"/>
  <c r="F540" i="1"/>
  <c r="E540" i="1"/>
  <c r="D540" i="1"/>
  <c r="F539" i="1"/>
  <c r="E539" i="1"/>
  <c r="D539" i="1"/>
  <c r="F538" i="1"/>
  <c r="E538" i="1"/>
  <c r="D538" i="1"/>
  <c r="F537" i="1"/>
  <c r="E537" i="1"/>
  <c r="D537" i="1"/>
  <c r="F536" i="1"/>
  <c r="E536" i="1"/>
  <c r="D536" i="1"/>
  <c r="F535" i="1"/>
  <c r="E535" i="1"/>
  <c r="D535" i="1"/>
  <c r="F534" i="1"/>
  <c r="E534" i="1"/>
  <c r="D534" i="1"/>
  <c r="F533" i="1"/>
  <c r="E533" i="1"/>
  <c r="D533" i="1"/>
  <c r="F532" i="1"/>
  <c r="E532" i="1"/>
  <c r="D532" i="1"/>
  <c r="F531" i="1"/>
  <c r="E531" i="1"/>
  <c r="D531" i="1"/>
  <c r="F530" i="1"/>
  <c r="E530" i="1"/>
  <c r="D530" i="1"/>
  <c r="F529" i="1"/>
  <c r="E529" i="1"/>
  <c r="D529" i="1"/>
  <c r="F528" i="1"/>
  <c r="E528" i="1"/>
  <c r="D528" i="1"/>
  <c r="F527" i="1"/>
  <c r="E527" i="1"/>
  <c r="D527" i="1"/>
  <c r="F526" i="1"/>
  <c r="E526" i="1"/>
  <c r="D526" i="1"/>
  <c r="F525" i="1"/>
  <c r="E525" i="1"/>
  <c r="D525" i="1"/>
  <c r="F524" i="1"/>
  <c r="E524" i="1"/>
  <c r="D524" i="1"/>
  <c r="F523" i="1"/>
  <c r="E523" i="1"/>
  <c r="D523" i="1"/>
  <c r="F522" i="1"/>
  <c r="E522" i="1"/>
  <c r="D522" i="1"/>
  <c r="F521" i="1"/>
  <c r="E521" i="1"/>
  <c r="D521" i="1"/>
  <c r="F520" i="1"/>
  <c r="E520" i="1"/>
  <c r="D520" i="1"/>
  <c r="F519" i="1"/>
  <c r="E519" i="1"/>
  <c r="D519" i="1"/>
  <c r="F518" i="1"/>
  <c r="E518" i="1"/>
  <c r="D518" i="1"/>
  <c r="F517" i="1"/>
  <c r="E517" i="1"/>
  <c r="D517" i="1"/>
  <c r="F516" i="1"/>
  <c r="E516" i="1"/>
  <c r="D516" i="1"/>
  <c r="F515" i="1"/>
  <c r="E515" i="1"/>
  <c r="D515" i="1"/>
  <c r="F514" i="1"/>
  <c r="E514" i="1"/>
  <c r="D514" i="1"/>
  <c r="F513" i="1"/>
  <c r="E513" i="1"/>
  <c r="D513" i="1"/>
  <c r="F512" i="1"/>
  <c r="E512" i="1"/>
  <c r="D512" i="1"/>
  <c r="F511" i="1"/>
  <c r="E511" i="1"/>
  <c r="D511" i="1"/>
  <c r="F510" i="1"/>
  <c r="E510" i="1"/>
  <c r="D510" i="1"/>
  <c r="F509" i="1"/>
  <c r="E509" i="1"/>
  <c r="D509" i="1"/>
  <c r="F508" i="1"/>
  <c r="E508" i="1"/>
  <c r="D508" i="1"/>
  <c r="F507" i="1"/>
  <c r="E507" i="1"/>
  <c r="D507" i="1"/>
  <c r="F506" i="1"/>
  <c r="E506" i="1"/>
  <c r="D506" i="1"/>
  <c r="F505" i="1"/>
  <c r="E505" i="1"/>
  <c r="D505" i="1"/>
  <c r="F504" i="1"/>
  <c r="E504" i="1"/>
  <c r="D504" i="1"/>
  <c r="F503" i="1"/>
  <c r="E503" i="1"/>
  <c r="D503" i="1"/>
  <c r="F502" i="1"/>
  <c r="E502" i="1"/>
  <c r="D502" i="1"/>
  <c r="F501" i="1"/>
  <c r="E501" i="1"/>
  <c r="D501" i="1"/>
  <c r="F500" i="1"/>
  <c r="E500" i="1"/>
  <c r="D500" i="1"/>
  <c r="F499" i="1"/>
  <c r="E499" i="1"/>
  <c r="D499" i="1"/>
  <c r="F498" i="1"/>
  <c r="E498" i="1"/>
  <c r="D498" i="1"/>
  <c r="F497" i="1"/>
  <c r="E497" i="1"/>
  <c r="D497" i="1"/>
  <c r="F496" i="1"/>
  <c r="E496" i="1"/>
  <c r="D496" i="1"/>
  <c r="F495" i="1"/>
  <c r="E495" i="1"/>
  <c r="D495" i="1"/>
  <c r="F494" i="1"/>
  <c r="E494" i="1"/>
  <c r="D494" i="1"/>
  <c r="F493" i="1"/>
  <c r="E493" i="1"/>
  <c r="D493" i="1"/>
  <c r="F492" i="1"/>
  <c r="E492" i="1"/>
  <c r="D492" i="1"/>
  <c r="F491" i="1"/>
  <c r="E491" i="1"/>
  <c r="D491" i="1"/>
  <c r="F490" i="1"/>
  <c r="E490" i="1"/>
  <c r="D490" i="1"/>
  <c r="F489" i="1"/>
  <c r="E489" i="1"/>
  <c r="D489" i="1"/>
  <c r="F488" i="1"/>
  <c r="E488" i="1"/>
  <c r="D488" i="1"/>
  <c r="F487" i="1"/>
  <c r="E487" i="1"/>
  <c r="D487" i="1"/>
  <c r="F486" i="1"/>
  <c r="E486" i="1"/>
  <c r="D486" i="1"/>
  <c r="F485" i="1"/>
  <c r="E485" i="1"/>
  <c r="D485" i="1"/>
  <c r="F484" i="1"/>
  <c r="E484" i="1"/>
  <c r="D484" i="1"/>
  <c r="F483" i="1"/>
  <c r="E483" i="1"/>
  <c r="D483" i="1"/>
  <c r="F482" i="1"/>
  <c r="E482" i="1"/>
  <c r="D482" i="1"/>
  <c r="F481" i="1"/>
  <c r="E481" i="1"/>
  <c r="D481" i="1"/>
  <c r="F480" i="1"/>
  <c r="E480" i="1"/>
  <c r="D480" i="1"/>
  <c r="F479" i="1"/>
  <c r="E479" i="1"/>
  <c r="D479" i="1"/>
  <c r="F478" i="1"/>
  <c r="E478" i="1"/>
  <c r="D478" i="1"/>
  <c r="F477" i="1"/>
  <c r="E477" i="1"/>
  <c r="D477" i="1"/>
  <c r="F476" i="1"/>
  <c r="E476" i="1"/>
  <c r="D476" i="1"/>
  <c r="F475" i="1"/>
  <c r="E475" i="1"/>
  <c r="D475" i="1"/>
  <c r="F474" i="1"/>
  <c r="E474" i="1"/>
  <c r="D474" i="1"/>
  <c r="F473" i="1"/>
  <c r="E473" i="1"/>
  <c r="D473" i="1"/>
  <c r="F472" i="1"/>
  <c r="E472" i="1"/>
  <c r="D472" i="1"/>
  <c r="F471" i="1"/>
  <c r="E471" i="1"/>
  <c r="D471" i="1"/>
  <c r="F470" i="1"/>
  <c r="E470" i="1"/>
  <c r="D470" i="1"/>
  <c r="F469" i="1"/>
  <c r="E469" i="1"/>
  <c r="D469" i="1"/>
  <c r="F468" i="1"/>
  <c r="E468" i="1"/>
  <c r="D468" i="1"/>
  <c r="F467" i="1"/>
  <c r="E467" i="1"/>
  <c r="D467" i="1"/>
  <c r="F466" i="1"/>
  <c r="E466" i="1"/>
  <c r="D466" i="1"/>
  <c r="F465" i="1"/>
  <c r="E465" i="1"/>
  <c r="D465" i="1"/>
  <c r="F464" i="1"/>
  <c r="E464" i="1"/>
  <c r="D464" i="1"/>
  <c r="F463" i="1"/>
  <c r="E463" i="1"/>
  <c r="D463" i="1"/>
  <c r="F462" i="1"/>
  <c r="E462" i="1"/>
  <c r="D462" i="1"/>
  <c r="F461" i="1"/>
  <c r="E461" i="1"/>
  <c r="D461" i="1"/>
  <c r="F460" i="1"/>
  <c r="E460" i="1"/>
  <c r="D460" i="1"/>
  <c r="F459" i="1"/>
  <c r="E459" i="1"/>
  <c r="D459" i="1"/>
  <c r="F458" i="1"/>
  <c r="E458" i="1"/>
  <c r="D458" i="1"/>
  <c r="F457" i="1"/>
  <c r="E457" i="1"/>
  <c r="D457" i="1"/>
  <c r="F456" i="1"/>
  <c r="E456" i="1"/>
  <c r="D456" i="1"/>
  <c r="F455" i="1"/>
  <c r="E455" i="1"/>
  <c r="D455" i="1"/>
  <c r="F454" i="1"/>
  <c r="E454" i="1"/>
  <c r="D454" i="1"/>
  <c r="F453" i="1"/>
  <c r="E453" i="1"/>
  <c r="D453" i="1"/>
  <c r="F452" i="1"/>
  <c r="E452" i="1"/>
  <c r="D452" i="1"/>
  <c r="F451" i="1"/>
  <c r="E451" i="1"/>
  <c r="D451" i="1"/>
  <c r="F450" i="1"/>
  <c r="E450" i="1"/>
  <c r="D450" i="1"/>
  <c r="F449" i="1"/>
  <c r="E449" i="1"/>
  <c r="D449" i="1"/>
  <c r="F448" i="1"/>
  <c r="E448" i="1"/>
  <c r="D448" i="1"/>
  <c r="F447" i="1"/>
  <c r="E447" i="1"/>
  <c r="D447" i="1"/>
  <c r="F446" i="1"/>
  <c r="E446" i="1"/>
  <c r="D446" i="1"/>
  <c r="F445" i="1"/>
  <c r="E445" i="1"/>
  <c r="D445" i="1"/>
  <c r="F444" i="1"/>
  <c r="E444" i="1"/>
  <c r="D444" i="1"/>
  <c r="F443" i="1"/>
  <c r="E443" i="1"/>
  <c r="D443" i="1"/>
  <c r="F442" i="1"/>
  <c r="E442" i="1"/>
  <c r="D442" i="1"/>
  <c r="F441" i="1"/>
  <c r="E441" i="1"/>
  <c r="D441" i="1"/>
  <c r="F440" i="1"/>
  <c r="E440" i="1"/>
  <c r="D440" i="1"/>
  <c r="F439" i="1"/>
  <c r="E439" i="1"/>
  <c r="D439" i="1"/>
  <c r="F438" i="1"/>
  <c r="E438" i="1"/>
  <c r="D438" i="1"/>
  <c r="F437" i="1"/>
  <c r="E437" i="1"/>
  <c r="D437" i="1"/>
  <c r="F436" i="1"/>
  <c r="E436" i="1"/>
  <c r="D436" i="1"/>
  <c r="F435" i="1"/>
  <c r="E435" i="1"/>
  <c r="D435" i="1"/>
  <c r="F434" i="1"/>
  <c r="E434" i="1"/>
  <c r="D434" i="1"/>
  <c r="F433" i="1"/>
  <c r="E433" i="1"/>
  <c r="D433" i="1"/>
  <c r="F432" i="1"/>
  <c r="E432" i="1"/>
  <c r="D432" i="1"/>
  <c r="F431" i="1"/>
  <c r="E431" i="1"/>
  <c r="D431" i="1"/>
  <c r="F430" i="1"/>
  <c r="E430" i="1"/>
  <c r="D430" i="1"/>
  <c r="F429" i="1"/>
  <c r="E429" i="1"/>
  <c r="D429" i="1"/>
  <c r="F428" i="1"/>
  <c r="E428" i="1"/>
  <c r="D428" i="1"/>
  <c r="F427" i="1"/>
  <c r="E427" i="1"/>
  <c r="D427" i="1"/>
  <c r="F426" i="1"/>
  <c r="E426" i="1"/>
  <c r="D426" i="1"/>
  <c r="F425" i="1"/>
  <c r="E425" i="1"/>
  <c r="D425" i="1"/>
  <c r="F424" i="1"/>
  <c r="E424" i="1"/>
  <c r="D424" i="1"/>
  <c r="F423" i="1"/>
  <c r="E423" i="1"/>
  <c r="D423" i="1"/>
  <c r="F422" i="1"/>
  <c r="E422" i="1"/>
  <c r="D422" i="1"/>
  <c r="F421" i="1"/>
  <c r="E421" i="1"/>
  <c r="D421" i="1"/>
  <c r="F420" i="1"/>
  <c r="E420" i="1"/>
  <c r="D420" i="1"/>
  <c r="F419" i="1"/>
  <c r="E419" i="1"/>
  <c r="D419" i="1"/>
  <c r="F418" i="1"/>
  <c r="E418" i="1"/>
  <c r="D418" i="1"/>
  <c r="F417" i="1"/>
  <c r="E417" i="1"/>
  <c r="D417" i="1"/>
  <c r="F416" i="1"/>
  <c r="E416" i="1"/>
  <c r="D416" i="1"/>
  <c r="F415" i="1"/>
  <c r="E415" i="1"/>
  <c r="D415" i="1"/>
  <c r="F414" i="1"/>
  <c r="E414" i="1"/>
  <c r="D414" i="1"/>
  <c r="F413" i="1"/>
  <c r="E413" i="1"/>
  <c r="D413" i="1"/>
  <c r="F412" i="1"/>
  <c r="E412" i="1"/>
  <c r="D412" i="1"/>
  <c r="F411" i="1"/>
  <c r="E411" i="1"/>
  <c r="D411" i="1"/>
  <c r="F410" i="1"/>
  <c r="E410" i="1"/>
  <c r="D410" i="1"/>
  <c r="F409" i="1"/>
  <c r="E409" i="1"/>
  <c r="D409" i="1"/>
  <c r="F408" i="1"/>
  <c r="E408" i="1"/>
  <c r="D408" i="1"/>
  <c r="F407" i="1"/>
  <c r="E407" i="1"/>
  <c r="D407" i="1"/>
  <c r="F406" i="1"/>
  <c r="E406" i="1"/>
  <c r="D406" i="1"/>
  <c r="F405" i="1"/>
  <c r="E405" i="1"/>
  <c r="D405" i="1"/>
  <c r="F404" i="1"/>
  <c r="E404" i="1"/>
  <c r="D404" i="1"/>
  <c r="F403" i="1"/>
  <c r="E403" i="1"/>
  <c r="D403" i="1"/>
  <c r="F402" i="1"/>
  <c r="E402" i="1"/>
  <c r="D402" i="1"/>
  <c r="F401" i="1"/>
  <c r="E401" i="1"/>
  <c r="D401" i="1"/>
  <c r="F400" i="1"/>
  <c r="E400" i="1"/>
  <c r="D400" i="1"/>
  <c r="F399" i="1"/>
  <c r="E399" i="1"/>
  <c r="D399" i="1"/>
  <c r="F398" i="1"/>
  <c r="E398" i="1"/>
  <c r="D398" i="1"/>
  <c r="F397" i="1"/>
  <c r="E397" i="1"/>
  <c r="D397" i="1"/>
  <c r="F396" i="1"/>
  <c r="E396" i="1"/>
  <c r="D396" i="1"/>
  <c r="F395" i="1"/>
  <c r="E395" i="1"/>
  <c r="D395" i="1"/>
  <c r="F394" i="1"/>
  <c r="E394" i="1"/>
  <c r="D394" i="1"/>
  <c r="F393" i="1"/>
  <c r="E393" i="1"/>
  <c r="D393" i="1"/>
  <c r="F392" i="1"/>
  <c r="E392" i="1"/>
  <c r="D392" i="1"/>
  <c r="F391" i="1"/>
  <c r="E391" i="1"/>
  <c r="D391" i="1"/>
  <c r="F390" i="1"/>
  <c r="E390" i="1"/>
  <c r="D390" i="1"/>
  <c r="F389" i="1"/>
  <c r="E389" i="1"/>
  <c r="D389" i="1"/>
  <c r="F388" i="1"/>
  <c r="E388" i="1"/>
  <c r="D388" i="1"/>
  <c r="F387" i="1"/>
  <c r="E387" i="1"/>
  <c r="D387" i="1"/>
  <c r="F386" i="1"/>
  <c r="E386" i="1"/>
  <c r="D386" i="1"/>
  <c r="F385" i="1"/>
  <c r="E385" i="1"/>
  <c r="D385" i="1"/>
  <c r="F384" i="1"/>
  <c r="E384" i="1"/>
  <c r="D384" i="1"/>
  <c r="F383" i="1"/>
  <c r="E383" i="1"/>
  <c r="D383" i="1"/>
  <c r="F382" i="1"/>
  <c r="E382" i="1"/>
  <c r="D382" i="1"/>
  <c r="F381" i="1"/>
  <c r="E381" i="1"/>
  <c r="D381" i="1"/>
  <c r="F380" i="1"/>
  <c r="E380" i="1"/>
  <c r="D380" i="1"/>
  <c r="F379" i="1"/>
  <c r="E379" i="1"/>
  <c r="D379" i="1"/>
  <c r="F378" i="1"/>
  <c r="E378" i="1"/>
  <c r="D378" i="1"/>
  <c r="F377" i="1"/>
  <c r="E377" i="1"/>
  <c r="D377" i="1"/>
  <c r="F376" i="1"/>
  <c r="E376" i="1"/>
  <c r="D376" i="1"/>
  <c r="F375" i="1"/>
  <c r="E375" i="1"/>
  <c r="D375" i="1"/>
  <c r="F374" i="1"/>
  <c r="E374" i="1"/>
  <c r="D374" i="1"/>
  <c r="F373" i="1"/>
  <c r="E373" i="1"/>
  <c r="D373" i="1"/>
  <c r="F372" i="1"/>
  <c r="E372" i="1"/>
  <c r="D372" i="1"/>
  <c r="F371" i="1"/>
  <c r="E371" i="1"/>
  <c r="D371" i="1"/>
  <c r="F370" i="1"/>
  <c r="E370" i="1"/>
  <c r="D370" i="1"/>
  <c r="F369" i="1"/>
  <c r="E369" i="1"/>
  <c r="D369" i="1"/>
  <c r="F368" i="1"/>
  <c r="E368" i="1"/>
  <c r="D368" i="1"/>
  <c r="F367" i="1"/>
  <c r="E367" i="1"/>
  <c r="D367" i="1"/>
  <c r="F366" i="1"/>
  <c r="E366" i="1"/>
  <c r="D366" i="1"/>
  <c r="F365" i="1"/>
  <c r="E365" i="1"/>
  <c r="D365" i="1"/>
  <c r="F364" i="1"/>
  <c r="E364" i="1"/>
  <c r="D364" i="1"/>
  <c r="F363" i="1"/>
  <c r="E363" i="1"/>
  <c r="D363" i="1"/>
  <c r="F362" i="1"/>
  <c r="E362" i="1"/>
  <c r="D362" i="1"/>
  <c r="F361" i="1"/>
  <c r="E361" i="1"/>
  <c r="D361" i="1"/>
  <c r="F360" i="1"/>
  <c r="E360" i="1"/>
  <c r="D360" i="1"/>
  <c r="F359" i="1"/>
  <c r="E359" i="1"/>
  <c r="D359" i="1"/>
  <c r="F358" i="1"/>
  <c r="E358" i="1"/>
  <c r="D358" i="1"/>
  <c r="F357" i="1"/>
  <c r="E357" i="1"/>
  <c r="D357" i="1"/>
  <c r="F356" i="1"/>
  <c r="E356" i="1"/>
  <c r="D356" i="1"/>
  <c r="F355" i="1"/>
  <c r="E355" i="1"/>
  <c r="D355" i="1"/>
  <c r="F354" i="1"/>
  <c r="E354" i="1"/>
  <c r="D354" i="1"/>
  <c r="F353" i="1"/>
  <c r="E353" i="1"/>
  <c r="D353" i="1"/>
  <c r="F352" i="1"/>
  <c r="E352" i="1"/>
  <c r="D352" i="1"/>
  <c r="F351" i="1"/>
  <c r="E351" i="1"/>
  <c r="D351" i="1"/>
  <c r="F350" i="1"/>
  <c r="E350" i="1"/>
  <c r="D350" i="1"/>
  <c r="F349" i="1"/>
  <c r="E349" i="1"/>
  <c r="D349" i="1"/>
  <c r="F348" i="1"/>
  <c r="E348" i="1"/>
  <c r="D348" i="1"/>
  <c r="F347" i="1"/>
  <c r="E347" i="1"/>
  <c r="D347" i="1"/>
  <c r="F346" i="1"/>
  <c r="E346" i="1"/>
  <c r="D346" i="1"/>
  <c r="F345" i="1"/>
  <c r="E345" i="1"/>
  <c r="D345" i="1"/>
  <c r="F344" i="1"/>
  <c r="E344" i="1"/>
  <c r="D344" i="1"/>
  <c r="F343" i="1"/>
  <c r="E343" i="1"/>
  <c r="D343" i="1"/>
  <c r="F342" i="1"/>
  <c r="E342" i="1"/>
  <c r="D342" i="1"/>
  <c r="F341" i="1"/>
  <c r="E341" i="1"/>
  <c r="D341" i="1"/>
  <c r="F340" i="1"/>
  <c r="E340" i="1"/>
  <c r="D340" i="1"/>
  <c r="F339" i="1"/>
  <c r="E339" i="1"/>
  <c r="D339" i="1"/>
  <c r="F338" i="1"/>
  <c r="E338" i="1"/>
  <c r="D338" i="1"/>
  <c r="F337" i="1"/>
  <c r="E337" i="1"/>
  <c r="D337" i="1"/>
  <c r="F336" i="1"/>
  <c r="E336" i="1"/>
  <c r="D336" i="1"/>
  <c r="F335" i="1"/>
  <c r="E335" i="1"/>
  <c r="D335" i="1"/>
  <c r="F334" i="1"/>
  <c r="E334" i="1"/>
  <c r="D334" i="1"/>
  <c r="F333" i="1"/>
  <c r="E333" i="1"/>
  <c r="D333" i="1"/>
  <c r="F332" i="1"/>
  <c r="E332" i="1"/>
  <c r="D332" i="1"/>
  <c r="F331" i="1"/>
  <c r="E331" i="1"/>
  <c r="D331" i="1"/>
  <c r="F330" i="1"/>
  <c r="E330" i="1"/>
  <c r="D330" i="1"/>
  <c r="F329" i="1"/>
  <c r="E329" i="1"/>
  <c r="D329" i="1"/>
  <c r="F328" i="1"/>
  <c r="E328" i="1"/>
  <c r="D328" i="1"/>
  <c r="F327" i="1"/>
  <c r="E327" i="1"/>
  <c r="D327" i="1"/>
  <c r="F326" i="1"/>
  <c r="E326" i="1"/>
  <c r="D326" i="1"/>
  <c r="F325" i="1"/>
  <c r="E325" i="1"/>
  <c r="D325" i="1"/>
  <c r="F324" i="1"/>
  <c r="E324" i="1"/>
  <c r="D324" i="1"/>
  <c r="F323" i="1"/>
  <c r="E323" i="1"/>
  <c r="D323" i="1"/>
  <c r="F322" i="1"/>
  <c r="E322" i="1"/>
  <c r="D322" i="1"/>
  <c r="F321" i="1"/>
  <c r="E321" i="1"/>
  <c r="D321" i="1"/>
  <c r="F320" i="1"/>
  <c r="E320" i="1"/>
  <c r="D320" i="1"/>
  <c r="F319" i="1"/>
  <c r="E319" i="1"/>
  <c r="D319" i="1"/>
  <c r="F318" i="1"/>
  <c r="E318" i="1"/>
  <c r="D318" i="1"/>
  <c r="F317" i="1"/>
  <c r="E317" i="1"/>
  <c r="D317" i="1"/>
  <c r="F316" i="1"/>
  <c r="E316" i="1"/>
  <c r="D316" i="1"/>
  <c r="F315" i="1"/>
  <c r="E315" i="1"/>
  <c r="D315" i="1"/>
  <c r="F314" i="1"/>
  <c r="E314" i="1"/>
  <c r="D314" i="1"/>
  <c r="F313" i="1"/>
  <c r="E313" i="1"/>
  <c r="D313" i="1"/>
  <c r="F312" i="1"/>
  <c r="E312" i="1"/>
  <c r="D312" i="1"/>
  <c r="F311" i="1"/>
  <c r="E311" i="1"/>
  <c r="D311" i="1"/>
  <c r="F310" i="1"/>
  <c r="E310" i="1"/>
  <c r="D310" i="1"/>
  <c r="F309" i="1"/>
  <c r="E309" i="1"/>
  <c r="D309" i="1"/>
  <c r="F308" i="1"/>
  <c r="E308" i="1"/>
  <c r="D308" i="1"/>
  <c r="F307" i="1"/>
  <c r="E307" i="1"/>
  <c r="D307" i="1"/>
  <c r="F306" i="1"/>
  <c r="E306" i="1"/>
  <c r="D306" i="1"/>
  <c r="F305" i="1"/>
  <c r="E305" i="1"/>
  <c r="D305" i="1"/>
  <c r="F304" i="1"/>
  <c r="E304" i="1"/>
  <c r="D304" i="1"/>
  <c r="F303" i="1"/>
  <c r="E303" i="1"/>
  <c r="D303" i="1"/>
  <c r="F302" i="1"/>
  <c r="E302" i="1"/>
  <c r="D302" i="1"/>
  <c r="F301" i="1"/>
  <c r="E301" i="1"/>
  <c r="D301" i="1"/>
  <c r="F300" i="1"/>
  <c r="E300" i="1"/>
  <c r="D300" i="1"/>
  <c r="F299" i="1"/>
  <c r="E299" i="1"/>
  <c r="D299" i="1"/>
  <c r="F298" i="1"/>
  <c r="E298" i="1"/>
  <c r="D298" i="1"/>
  <c r="F297" i="1"/>
  <c r="E297" i="1"/>
  <c r="D297" i="1"/>
  <c r="F296" i="1"/>
  <c r="E296" i="1"/>
  <c r="D296" i="1"/>
  <c r="F295" i="1"/>
  <c r="E295" i="1"/>
  <c r="D295" i="1"/>
  <c r="F294" i="1"/>
  <c r="E294" i="1"/>
  <c r="D294" i="1"/>
  <c r="F293" i="1"/>
  <c r="E293" i="1"/>
  <c r="D293" i="1"/>
  <c r="F292" i="1"/>
  <c r="E292" i="1"/>
  <c r="D292" i="1"/>
  <c r="F291" i="1"/>
  <c r="E291" i="1"/>
  <c r="D291" i="1"/>
  <c r="F290" i="1"/>
  <c r="E290" i="1"/>
  <c r="D290" i="1"/>
  <c r="F289" i="1"/>
  <c r="E289" i="1"/>
  <c r="D289" i="1"/>
  <c r="F288" i="1"/>
  <c r="E288" i="1"/>
  <c r="D288" i="1"/>
  <c r="F287" i="1"/>
  <c r="E287" i="1"/>
  <c r="D287" i="1"/>
  <c r="F286" i="1"/>
  <c r="E286" i="1"/>
  <c r="D286" i="1"/>
  <c r="F285" i="1"/>
  <c r="E285" i="1"/>
  <c r="D285" i="1"/>
  <c r="F284" i="1"/>
  <c r="E284" i="1"/>
  <c r="D284" i="1"/>
  <c r="F283" i="1"/>
  <c r="E283" i="1"/>
  <c r="D283" i="1"/>
  <c r="F282" i="1"/>
  <c r="E282" i="1"/>
  <c r="D282" i="1"/>
  <c r="F281" i="1"/>
  <c r="E281" i="1"/>
  <c r="D281" i="1"/>
  <c r="F280" i="1"/>
  <c r="E280" i="1"/>
  <c r="D280" i="1"/>
  <c r="F279" i="1"/>
  <c r="E279" i="1"/>
  <c r="D279" i="1"/>
  <c r="F278" i="1"/>
  <c r="E278" i="1"/>
  <c r="D278" i="1"/>
  <c r="F277" i="1"/>
  <c r="E277" i="1"/>
  <c r="D277" i="1"/>
  <c r="F276" i="1"/>
  <c r="E276" i="1"/>
  <c r="D276" i="1"/>
  <c r="F275" i="1"/>
  <c r="E275" i="1"/>
  <c r="D275" i="1"/>
  <c r="F274" i="1"/>
  <c r="E274" i="1"/>
  <c r="D274" i="1"/>
  <c r="F273" i="1"/>
  <c r="E273" i="1"/>
  <c r="D273" i="1"/>
  <c r="F272" i="1"/>
  <c r="E272" i="1"/>
  <c r="D272" i="1"/>
  <c r="F271" i="1"/>
  <c r="E271" i="1"/>
  <c r="D271" i="1"/>
  <c r="F270" i="1"/>
  <c r="E270" i="1"/>
  <c r="D270" i="1"/>
  <c r="F269" i="1"/>
  <c r="E269" i="1"/>
  <c r="D269" i="1"/>
  <c r="F268" i="1"/>
  <c r="E268" i="1"/>
  <c r="D268" i="1"/>
  <c r="F267" i="1"/>
  <c r="E267" i="1"/>
  <c r="D267" i="1"/>
  <c r="F266" i="1"/>
  <c r="E266" i="1"/>
  <c r="D266" i="1"/>
  <c r="F265" i="1"/>
  <c r="E265" i="1"/>
  <c r="D265" i="1"/>
  <c r="F264" i="1"/>
  <c r="E264" i="1"/>
  <c r="D264" i="1"/>
  <c r="F263" i="1"/>
  <c r="E263" i="1"/>
  <c r="D263" i="1"/>
  <c r="F262" i="1"/>
  <c r="E262" i="1"/>
  <c r="D262" i="1"/>
  <c r="F261" i="1"/>
  <c r="E261" i="1"/>
  <c r="D261" i="1"/>
  <c r="F260" i="1"/>
  <c r="E260" i="1"/>
  <c r="D260" i="1"/>
  <c r="F259" i="1"/>
  <c r="E259" i="1"/>
  <c r="D259" i="1"/>
  <c r="F258" i="1"/>
  <c r="E258" i="1"/>
  <c r="D258" i="1"/>
  <c r="F257" i="1"/>
  <c r="E257" i="1"/>
  <c r="D257" i="1"/>
  <c r="F256" i="1"/>
  <c r="E256" i="1"/>
  <c r="D256" i="1"/>
  <c r="F255" i="1"/>
  <c r="E255" i="1"/>
  <c r="D255" i="1"/>
  <c r="F254" i="1"/>
  <c r="E254" i="1"/>
  <c r="D254" i="1"/>
  <c r="F253" i="1"/>
  <c r="E253" i="1"/>
  <c r="D253" i="1"/>
  <c r="F252" i="1"/>
  <c r="E252" i="1"/>
  <c r="D252" i="1"/>
  <c r="F251" i="1"/>
  <c r="E251" i="1"/>
  <c r="D251" i="1"/>
  <c r="F250" i="1"/>
  <c r="E250" i="1"/>
  <c r="D250" i="1"/>
  <c r="F249" i="1"/>
  <c r="E249" i="1"/>
  <c r="D249" i="1"/>
  <c r="F248" i="1"/>
  <c r="E248" i="1"/>
  <c r="D248" i="1"/>
  <c r="F247" i="1"/>
  <c r="E247" i="1"/>
  <c r="D247" i="1"/>
  <c r="F246" i="1"/>
  <c r="E246" i="1"/>
  <c r="D246" i="1"/>
  <c r="F245" i="1"/>
  <c r="E245" i="1"/>
  <c r="D245" i="1"/>
  <c r="F244" i="1"/>
  <c r="E244" i="1"/>
  <c r="D244" i="1"/>
  <c r="F243" i="1"/>
  <c r="E243" i="1"/>
  <c r="D243" i="1"/>
  <c r="F242" i="1"/>
  <c r="E242" i="1"/>
  <c r="D242" i="1"/>
  <c r="F241" i="1"/>
  <c r="E241" i="1"/>
  <c r="D241" i="1"/>
  <c r="F240" i="1"/>
  <c r="E240" i="1"/>
  <c r="D240" i="1"/>
  <c r="F239" i="1"/>
  <c r="E239" i="1"/>
  <c r="D239" i="1"/>
  <c r="F238" i="1"/>
  <c r="E238" i="1"/>
  <c r="D238" i="1"/>
  <c r="F237" i="1"/>
  <c r="E237" i="1"/>
  <c r="D237" i="1"/>
  <c r="F236" i="1"/>
  <c r="E236" i="1"/>
  <c r="D236" i="1"/>
  <c r="F235" i="1"/>
  <c r="E235" i="1"/>
  <c r="D235" i="1"/>
  <c r="F234" i="1"/>
  <c r="E234" i="1"/>
  <c r="D234" i="1"/>
  <c r="F233" i="1"/>
  <c r="E233" i="1"/>
  <c r="D233" i="1"/>
  <c r="F232" i="1"/>
  <c r="E232" i="1"/>
  <c r="D232" i="1"/>
  <c r="F231" i="1"/>
  <c r="E231" i="1"/>
  <c r="D231" i="1"/>
  <c r="F230" i="1"/>
  <c r="E230" i="1"/>
  <c r="D230" i="1"/>
  <c r="F229" i="1"/>
  <c r="E229" i="1"/>
  <c r="D229" i="1"/>
  <c r="F228" i="1"/>
  <c r="E228" i="1"/>
  <c r="D228" i="1"/>
  <c r="F227" i="1"/>
  <c r="E227" i="1"/>
  <c r="D227" i="1"/>
  <c r="F226" i="1"/>
  <c r="E226" i="1"/>
  <c r="D226" i="1"/>
  <c r="F225" i="1"/>
  <c r="E225" i="1"/>
  <c r="D225" i="1"/>
  <c r="F224" i="1"/>
  <c r="E224" i="1"/>
  <c r="D224" i="1"/>
  <c r="F223" i="1"/>
  <c r="E223" i="1"/>
  <c r="D223" i="1"/>
  <c r="F222" i="1"/>
  <c r="E222" i="1"/>
  <c r="D222" i="1"/>
  <c r="F221" i="1"/>
  <c r="E221" i="1"/>
  <c r="D221" i="1"/>
  <c r="F220" i="1"/>
  <c r="E220" i="1"/>
  <c r="D220" i="1"/>
  <c r="F219" i="1"/>
  <c r="E219" i="1"/>
  <c r="D219" i="1"/>
  <c r="F218" i="1"/>
  <c r="E218" i="1"/>
  <c r="D218" i="1"/>
  <c r="F217" i="1"/>
  <c r="E217" i="1"/>
  <c r="D217" i="1"/>
  <c r="F216" i="1"/>
  <c r="E216" i="1"/>
  <c r="D216" i="1"/>
  <c r="F215" i="1"/>
  <c r="E215" i="1"/>
  <c r="D215" i="1"/>
  <c r="F214" i="1"/>
  <c r="E214" i="1"/>
  <c r="D214" i="1"/>
  <c r="F213" i="1"/>
  <c r="E213" i="1"/>
  <c r="D213" i="1"/>
  <c r="F212" i="1"/>
  <c r="E212" i="1"/>
  <c r="D212" i="1"/>
  <c r="F211" i="1"/>
  <c r="E211" i="1"/>
  <c r="D211" i="1"/>
  <c r="F210" i="1"/>
  <c r="E210" i="1"/>
  <c r="D210" i="1"/>
  <c r="F209" i="1"/>
  <c r="E209" i="1"/>
  <c r="D209" i="1"/>
  <c r="F208" i="1"/>
  <c r="E208" i="1"/>
  <c r="D208" i="1"/>
  <c r="F207" i="1"/>
  <c r="E207" i="1"/>
  <c r="D207" i="1"/>
  <c r="F206" i="1"/>
  <c r="E206" i="1"/>
  <c r="D206" i="1"/>
  <c r="F205" i="1"/>
  <c r="E205" i="1"/>
  <c r="D205" i="1"/>
  <c r="F204" i="1"/>
  <c r="E204" i="1"/>
  <c r="D204" i="1"/>
  <c r="F203" i="1"/>
  <c r="E203" i="1"/>
  <c r="D203" i="1"/>
  <c r="F202" i="1"/>
  <c r="E202" i="1"/>
  <c r="D202" i="1"/>
  <c r="F201" i="1"/>
  <c r="E201" i="1"/>
  <c r="D201" i="1"/>
  <c r="F200" i="1"/>
  <c r="E200" i="1"/>
  <c r="D200" i="1"/>
  <c r="F199" i="1"/>
  <c r="E199" i="1"/>
  <c r="D199" i="1"/>
  <c r="F198" i="1"/>
  <c r="E198" i="1"/>
  <c r="D198" i="1"/>
  <c r="F197" i="1"/>
  <c r="E197" i="1"/>
  <c r="D197" i="1"/>
  <c r="F196" i="1"/>
  <c r="E196" i="1"/>
  <c r="D196" i="1"/>
  <c r="F195" i="1"/>
  <c r="E195" i="1"/>
  <c r="D195" i="1"/>
  <c r="F194" i="1"/>
  <c r="E194" i="1"/>
  <c r="D194" i="1"/>
  <c r="F193" i="1"/>
  <c r="E193" i="1"/>
  <c r="D193" i="1"/>
  <c r="F192" i="1"/>
  <c r="E192" i="1"/>
  <c r="D192" i="1"/>
  <c r="F191" i="1"/>
  <c r="E191" i="1"/>
  <c r="D191" i="1"/>
  <c r="F190" i="1"/>
  <c r="E190" i="1"/>
  <c r="D190" i="1"/>
  <c r="F189" i="1"/>
  <c r="E189" i="1"/>
  <c r="D189" i="1"/>
  <c r="F188" i="1"/>
  <c r="E188" i="1"/>
  <c r="D188" i="1"/>
  <c r="F187" i="1"/>
  <c r="E187" i="1"/>
  <c r="D187" i="1"/>
  <c r="F186" i="1"/>
  <c r="E186" i="1"/>
  <c r="D186" i="1"/>
  <c r="F185" i="1"/>
  <c r="E185" i="1"/>
  <c r="D185" i="1"/>
  <c r="F184" i="1"/>
  <c r="E184" i="1"/>
  <c r="D184" i="1"/>
  <c r="F183" i="1"/>
  <c r="E183" i="1"/>
  <c r="D183" i="1"/>
  <c r="F182" i="1"/>
  <c r="E182" i="1"/>
  <c r="D182" i="1"/>
  <c r="F181" i="1"/>
  <c r="E181" i="1"/>
  <c r="D181" i="1"/>
  <c r="F180" i="1"/>
  <c r="E180" i="1"/>
  <c r="D180" i="1"/>
  <c r="F179" i="1"/>
  <c r="E179" i="1"/>
  <c r="D179" i="1"/>
  <c r="F178" i="1"/>
  <c r="E178" i="1"/>
  <c r="D178" i="1"/>
  <c r="F177" i="1"/>
  <c r="E177" i="1"/>
  <c r="D177" i="1"/>
  <c r="F176" i="1"/>
  <c r="E176" i="1"/>
  <c r="D176" i="1"/>
  <c r="F175" i="1"/>
  <c r="E175" i="1"/>
  <c r="D175" i="1"/>
  <c r="F174" i="1"/>
  <c r="E174" i="1"/>
  <c r="D174" i="1"/>
  <c r="F173" i="1"/>
  <c r="E173" i="1"/>
  <c r="D173" i="1"/>
  <c r="F172" i="1"/>
  <c r="E172" i="1"/>
  <c r="D172" i="1"/>
  <c r="F171" i="1"/>
  <c r="E171" i="1"/>
  <c r="D171" i="1"/>
  <c r="F170" i="1"/>
  <c r="E170" i="1"/>
  <c r="D170" i="1"/>
  <c r="F169" i="1"/>
  <c r="E169" i="1"/>
  <c r="D169" i="1"/>
  <c r="F168" i="1"/>
  <c r="E168" i="1"/>
  <c r="D168" i="1"/>
  <c r="F167" i="1"/>
  <c r="E167" i="1"/>
  <c r="D167" i="1"/>
  <c r="F166" i="1"/>
  <c r="E166" i="1"/>
  <c r="D166" i="1"/>
  <c r="F165" i="1"/>
  <c r="E165" i="1"/>
  <c r="D165" i="1"/>
  <c r="F164" i="1"/>
  <c r="E164" i="1"/>
  <c r="D164" i="1"/>
  <c r="F163" i="1"/>
  <c r="E163" i="1"/>
  <c r="D163" i="1"/>
  <c r="F162" i="1"/>
  <c r="E162" i="1"/>
  <c r="D162" i="1"/>
  <c r="F161" i="1"/>
  <c r="E161" i="1"/>
  <c r="D161" i="1"/>
  <c r="F160" i="1"/>
  <c r="E160" i="1"/>
  <c r="D160" i="1"/>
  <c r="F159" i="1"/>
  <c r="E159" i="1"/>
  <c r="D159" i="1"/>
  <c r="F158" i="1"/>
  <c r="E158" i="1"/>
  <c r="D158" i="1"/>
  <c r="F157" i="1"/>
  <c r="E157" i="1"/>
  <c r="D157" i="1"/>
  <c r="F156" i="1"/>
  <c r="E156" i="1"/>
  <c r="D156" i="1"/>
  <c r="F155" i="1"/>
  <c r="E155" i="1"/>
  <c r="D155" i="1"/>
  <c r="F154" i="1"/>
  <c r="E154" i="1"/>
  <c r="D154" i="1"/>
  <c r="F153" i="1"/>
  <c r="E153" i="1"/>
  <c r="D153" i="1"/>
  <c r="F152" i="1"/>
  <c r="E152" i="1"/>
  <c r="D152" i="1"/>
  <c r="F151" i="1"/>
  <c r="E151" i="1"/>
  <c r="D151" i="1"/>
  <c r="F150" i="1"/>
  <c r="E150" i="1"/>
  <c r="D150" i="1"/>
  <c r="F149" i="1"/>
  <c r="E149" i="1"/>
  <c r="D149" i="1"/>
  <c r="F148" i="1"/>
  <c r="E148" i="1"/>
  <c r="D148" i="1"/>
  <c r="F147" i="1"/>
  <c r="E147" i="1"/>
  <c r="D147" i="1"/>
  <c r="F146" i="1"/>
  <c r="E146" i="1"/>
  <c r="D146" i="1"/>
  <c r="F145" i="1"/>
  <c r="E145" i="1"/>
  <c r="D145" i="1"/>
  <c r="F144" i="1"/>
  <c r="E144" i="1"/>
  <c r="D144" i="1"/>
  <c r="F143" i="1"/>
  <c r="E143" i="1"/>
  <c r="D143" i="1"/>
  <c r="F142" i="1"/>
  <c r="E142" i="1"/>
  <c r="D142" i="1"/>
  <c r="F141" i="1"/>
  <c r="E141" i="1"/>
  <c r="D141" i="1"/>
  <c r="F140" i="1"/>
  <c r="E140" i="1"/>
  <c r="D140" i="1"/>
  <c r="F139" i="1"/>
  <c r="E139" i="1"/>
  <c r="D139" i="1"/>
  <c r="F138" i="1"/>
  <c r="E138" i="1"/>
  <c r="D138" i="1"/>
  <c r="F137" i="1"/>
  <c r="E137" i="1"/>
  <c r="D137" i="1"/>
  <c r="F136" i="1"/>
  <c r="E136" i="1"/>
  <c r="D136" i="1"/>
  <c r="F135" i="1"/>
  <c r="E135" i="1"/>
  <c r="D135" i="1"/>
  <c r="F134" i="1"/>
  <c r="E134" i="1"/>
  <c r="D134" i="1"/>
  <c r="F133" i="1"/>
  <c r="E133" i="1"/>
  <c r="D133" i="1"/>
  <c r="F132" i="1"/>
  <c r="E132" i="1"/>
  <c r="D132" i="1"/>
  <c r="F131" i="1"/>
  <c r="E131" i="1"/>
  <c r="D131" i="1"/>
  <c r="F130" i="1"/>
  <c r="E130" i="1"/>
  <c r="D130" i="1"/>
  <c r="F129" i="1"/>
  <c r="E129" i="1"/>
  <c r="D129" i="1"/>
  <c r="F128" i="1"/>
  <c r="E128" i="1"/>
  <c r="D128" i="1"/>
  <c r="F127" i="1"/>
  <c r="E127" i="1"/>
  <c r="D127" i="1"/>
  <c r="F126" i="1"/>
  <c r="E126" i="1"/>
  <c r="D126" i="1"/>
  <c r="F125" i="1"/>
  <c r="E125" i="1"/>
  <c r="D125" i="1"/>
  <c r="F124" i="1"/>
  <c r="E124" i="1"/>
  <c r="D124" i="1"/>
  <c r="F123" i="1"/>
  <c r="E123" i="1"/>
  <c r="D123" i="1"/>
  <c r="F122" i="1"/>
  <c r="E122" i="1"/>
  <c r="D122" i="1"/>
  <c r="F121" i="1"/>
  <c r="E121" i="1"/>
  <c r="D121" i="1"/>
  <c r="F120" i="1"/>
  <c r="E120" i="1"/>
  <c r="D120" i="1"/>
  <c r="F119" i="1"/>
  <c r="E119" i="1"/>
  <c r="D119" i="1"/>
  <c r="F118" i="1"/>
  <c r="E118" i="1"/>
  <c r="D118" i="1"/>
  <c r="F117" i="1"/>
  <c r="E117" i="1"/>
  <c r="D117" i="1"/>
  <c r="F116" i="1"/>
  <c r="E116" i="1"/>
  <c r="D116" i="1"/>
  <c r="F115" i="1"/>
  <c r="E115" i="1"/>
  <c r="D115" i="1"/>
  <c r="F114" i="1"/>
  <c r="E114" i="1"/>
  <c r="D114" i="1"/>
  <c r="F113" i="1"/>
  <c r="E113" i="1"/>
  <c r="D113" i="1"/>
  <c r="F112" i="1"/>
  <c r="E112" i="1"/>
  <c r="D112" i="1"/>
  <c r="F111" i="1"/>
  <c r="E111" i="1"/>
  <c r="D111" i="1"/>
  <c r="F110" i="1"/>
  <c r="E110" i="1"/>
  <c r="D110" i="1"/>
  <c r="F109" i="1"/>
  <c r="E109" i="1"/>
  <c r="D109" i="1"/>
  <c r="F108" i="1"/>
  <c r="E108" i="1"/>
  <c r="D108" i="1"/>
  <c r="F107" i="1"/>
  <c r="E107" i="1"/>
  <c r="D107" i="1"/>
  <c r="F106" i="1"/>
  <c r="E106" i="1"/>
  <c r="D106" i="1"/>
  <c r="F105" i="1"/>
  <c r="E105" i="1"/>
  <c r="D105" i="1"/>
  <c r="F104" i="1"/>
  <c r="E104" i="1"/>
  <c r="D104" i="1"/>
  <c r="F103" i="1"/>
  <c r="E103" i="1"/>
  <c r="D103" i="1"/>
  <c r="F102" i="1"/>
  <c r="E102" i="1"/>
  <c r="D102" i="1"/>
  <c r="F101" i="1"/>
  <c r="E101" i="1"/>
  <c r="D101" i="1"/>
  <c r="F100" i="1"/>
  <c r="E100" i="1"/>
  <c r="D100" i="1"/>
  <c r="F99" i="1"/>
  <c r="E99" i="1"/>
  <c r="D99" i="1"/>
  <c r="F98" i="1"/>
  <c r="E98" i="1"/>
  <c r="D98" i="1"/>
  <c r="F97" i="1"/>
  <c r="E97" i="1"/>
  <c r="D97" i="1"/>
  <c r="F96" i="1"/>
  <c r="E96" i="1"/>
  <c r="D96" i="1"/>
  <c r="F95" i="1"/>
  <c r="E95" i="1"/>
  <c r="D95" i="1"/>
  <c r="F94" i="1"/>
  <c r="E94" i="1"/>
  <c r="D94" i="1"/>
  <c r="F93" i="1"/>
  <c r="E93" i="1"/>
  <c r="D93" i="1"/>
  <c r="F92" i="1"/>
  <c r="E92" i="1"/>
  <c r="D92" i="1"/>
  <c r="F91" i="1"/>
  <c r="E91" i="1"/>
  <c r="D91" i="1"/>
  <c r="F90" i="1"/>
  <c r="E90" i="1"/>
  <c r="D90" i="1"/>
  <c r="F89" i="1"/>
  <c r="E89" i="1"/>
  <c r="D89" i="1"/>
  <c r="F88" i="1"/>
  <c r="E88" i="1"/>
  <c r="D88" i="1"/>
  <c r="F87" i="1"/>
  <c r="E87" i="1"/>
  <c r="D87" i="1"/>
  <c r="F86" i="1"/>
  <c r="E86" i="1"/>
  <c r="D86" i="1"/>
  <c r="F85" i="1"/>
  <c r="E85" i="1"/>
  <c r="D85" i="1"/>
  <c r="F84" i="1"/>
  <c r="E84" i="1"/>
  <c r="D84" i="1"/>
  <c r="F83" i="1"/>
  <c r="E83" i="1"/>
  <c r="D83" i="1"/>
  <c r="F82" i="1"/>
  <c r="E82" i="1"/>
  <c r="D82" i="1"/>
  <c r="F81" i="1"/>
  <c r="E81" i="1"/>
  <c r="D81" i="1"/>
  <c r="F80" i="1"/>
  <c r="E80" i="1"/>
  <c r="D80" i="1"/>
  <c r="F79" i="1"/>
  <c r="E79" i="1"/>
  <c r="D79" i="1"/>
  <c r="F78" i="1"/>
  <c r="E78" i="1"/>
  <c r="D78" i="1"/>
  <c r="F77" i="1"/>
  <c r="E77" i="1"/>
  <c r="D77" i="1"/>
  <c r="F76" i="1"/>
  <c r="E76" i="1"/>
  <c r="D76" i="1"/>
  <c r="F75" i="1"/>
  <c r="E75" i="1"/>
  <c r="D75" i="1"/>
  <c r="F74" i="1"/>
  <c r="E74" i="1"/>
  <c r="D74" i="1"/>
  <c r="F73" i="1"/>
  <c r="E73" i="1"/>
  <c r="D73" i="1"/>
  <c r="F72" i="1"/>
  <c r="E72" i="1"/>
  <c r="D72" i="1"/>
  <c r="F71" i="1"/>
  <c r="E71" i="1"/>
  <c r="D71" i="1"/>
  <c r="F70" i="1"/>
  <c r="E70" i="1"/>
  <c r="D70" i="1"/>
  <c r="F69" i="1"/>
  <c r="E69" i="1"/>
  <c r="D69" i="1"/>
  <c r="F68" i="1"/>
  <c r="E68" i="1"/>
  <c r="D68" i="1"/>
  <c r="F67" i="1"/>
  <c r="E67" i="1"/>
  <c r="D67" i="1"/>
  <c r="F66" i="1"/>
  <c r="E66" i="1"/>
  <c r="D66" i="1"/>
  <c r="F65" i="1"/>
  <c r="E65" i="1"/>
  <c r="D65" i="1"/>
  <c r="F64" i="1"/>
  <c r="E64" i="1"/>
  <c r="D64" i="1"/>
  <c r="F63" i="1"/>
  <c r="E63" i="1"/>
  <c r="D63" i="1"/>
  <c r="F62" i="1"/>
  <c r="E62" i="1"/>
  <c r="D62" i="1"/>
  <c r="F61" i="1"/>
  <c r="E61" i="1"/>
  <c r="D61" i="1"/>
  <c r="F60" i="1"/>
  <c r="E60" i="1"/>
  <c r="D60" i="1"/>
  <c r="F59" i="1"/>
  <c r="E59" i="1"/>
  <c r="D59" i="1"/>
  <c r="F58" i="1"/>
  <c r="E58" i="1"/>
  <c r="D58" i="1"/>
  <c r="F57" i="1"/>
  <c r="E57" i="1"/>
  <c r="D57" i="1"/>
  <c r="F56" i="1"/>
  <c r="E56" i="1"/>
  <c r="D56" i="1"/>
  <c r="F55" i="1"/>
  <c r="E55" i="1"/>
  <c r="D55" i="1"/>
  <c r="F54" i="1"/>
  <c r="E54" i="1"/>
  <c r="D54" i="1"/>
  <c r="F53" i="1"/>
  <c r="E53" i="1"/>
  <c r="D53" i="1"/>
  <c r="F52" i="1"/>
  <c r="E52" i="1"/>
  <c r="D52" i="1"/>
  <c r="F51" i="1"/>
  <c r="E51" i="1"/>
  <c r="D51" i="1"/>
  <c r="F50" i="1"/>
  <c r="E50" i="1"/>
  <c r="D50" i="1"/>
  <c r="F49" i="1"/>
  <c r="E49" i="1"/>
  <c r="D49" i="1"/>
  <c r="F48" i="1"/>
  <c r="E48" i="1"/>
  <c r="D48" i="1"/>
  <c r="F47" i="1"/>
  <c r="E47" i="1"/>
  <c r="D47" i="1"/>
  <c r="F46" i="1"/>
  <c r="E46" i="1"/>
  <c r="D46" i="1"/>
  <c r="F45" i="1"/>
  <c r="E45" i="1"/>
  <c r="D45" i="1"/>
  <c r="F44" i="1"/>
  <c r="E44" i="1"/>
  <c r="D44" i="1"/>
  <c r="F43" i="1"/>
  <c r="E43" i="1"/>
  <c r="D43" i="1"/>
  <c r="F42" i="1"/>
  <c r="E42" i="1"/>
  <c r="D42" i="1"/>
  <c r="F41" i="1"/>
  <c r="E41" i="1"/>
  <c r="D41" i="1"/>
  <c r="F40" i="1"/>
  <c r="E40" i="1"/>
  <c r="D40" i="1"/>
  <c r="F39" i="1"/>
  <c r="E39" i="1"/>
  <c r="D39" i="1"/>
  <c r="F38" i="1"/>
  <c r="E38" i="1"/>
  <c r="D38" i="1"/>
  <c r="F37" i="1"/>
  <c r="E37" i="1"/>
  <c r="D37" i="1"/>
  <c r="F36" i="1"/>
  <c r="E36" i="1"/>
  <c r="D36" i="1"/>
  <c r="F35" i="1"/>
  <c r="E35" i="1"/>
  <c r="D35" i="1"/>
  <c r="F34" i="1"/>
  <c r="E34" i="1"/>
  <c r="D34" i="1"/>
  <c r="F33" i="1"/>
  <c r="E33" i="1"/>
  <c r="D33" i="1"/>
  <c r="F32" i="1"/>
  <c r="E32" i="1"/>
  <c r="D32" i="1"/>
  <c r="F31" i="1"/>
  <c r="E31" i="1"/>
  <c r="D31" i="1"/>
  <c r="F30" i="1"/>
  <c r="E30" i="1"/>
  <c r="D30" i="1"/>
  <c r="F29" i="1"/>
  <c r="E29" i="1"/>
  <c r="D29" i="1"/>
  <c r="F28" i="1"/>
  <c r="E28" i="1"/>
  <c r="D28" i="1"/>
  <c r="F27" i="1"/>
  <c r="E27" i="1"/>
  <c r="D27" i="1"/>
  <c r="F26" i="1"/>
  <c r="E26" i="1"/>
  <c r="D26" i="1"/>
  <c r="F25" i="1"/>
  <c r="E25" i="1"/>
  <c r="D25" i="1"/>
  <c r="F24" i="1"/>
  <c r="E24" i="1"/>
  <c r="D24" i="1"/>
  <c r="F23" i="1"/>
  <c r="E23" i="1"/>
  <c r="D23" i="1"/>
  <c r="F22" i="1"/>
  <c r="E22" i="1"/>
  <c r="D22" i="1"/>
  <c r="F21" i="1"/>
  <c r="E21" i="1"/>
  <c r="D21" i="1"/>
  <c r="F20" i="1"/>
  <c r="E20" i="1"/>
  <c r="D20" i="1"/>
  <c r="F19" i="1"/>
  <c r="E19" i="1"/>
  <c r="D19" i="1"/>
  <c r="F18" i="1"/>
  <c r="E18" i="1"/>
  <c r="D18" i="1"/>
  <c r="F17" i="1"/>
  <c r="E17" i="1"/>
  <c r="D17" i="1"/>
  <c r="F16" i="1"/>
  <c r="E16" i="1"/>
  <c r="D16" i="1"/>
  <c r="F15" i="1"/>
  <c r="E15" i="1"/>
  <c r="D15" i="1"/>
  <c r="F14" i="1"/>
  <c r="E14" i="1"/>
  <c r="D14" i="1"/>
  <c r="F13" i="1"/>
  <c r="E13" i="1"/>
  <c r="D13" i="1"/>
  <c r="F12" i="1"/>
  <c r="E12" i="1"/>
  <c r="D12" i="1"/>
  <c r="F11" i="1"/>
  <c r="E11" i="1"/>
  <c r="D11" i="1"/>
  <c r="F10" i="1"/>
  <c r="E10" i="1"/>
  <c r="D10" i="1"/>
  <c r="F9" i="1"/>
  <c r="E9" i="1"/>
  <c r="D9" i="1"/>
  <c r="F8" i="1"/>
  <c r="E8" i="1"/>
  <c r="D8" i="1"/>
  <c r="F7" i="1"/>
  <c r="E7" i="1"/>
  <c r="D7" i="1"/>
  <c r="F6" i="1"/>
  <c r="E6" i="1"/>
  <c r="D6" i="1"/>
  <c r="F5" i="1"/>
  <c r="E5" i="1"/>
  <c r="D5" i="1"/>
  <c r="F4" i="1"/>
  <c r="E4" i="1"/>
  <c r="D4" i="1"/>
  <c r="F3" i="1"/>
  <c r="E3" i="1"/>
  <c r="D3" i="1"/>
  <c r="F2" i="1"/>
  <c r="E2" i="1"/>
  <c r="D2" i="1"/>
  <c r="F1" i="1"/>
  <c r="E1" i="1"/>
  <c r="D1" i="1"/>
</calcChain>
</file>

<file path=xl/sharedStrings.xml><?xml version="1.0" encoding="utf-8"?>
<sst xmlns="http://schemas.openxmlformats.org/spreadsheetml/2006/main" count="1550" uniqueCount="779">
  <si>
    <t>Subject</t>
  </si>
  <si>
    <t>Age</t>
  </si>
  <si>
    <t>Sex</t>
  </si>
  <si>
    <t>EGD-0001</t>
  </si>
  <si>
    <t>M</t>
  </si>
  <si>
    <t>EGD-0002</t>
  </si>
  <si>
    <t>EGD-0003</t>
  </si>
  <si>
    <t>F</t>
  </si>
  <si>
    <t>EGD-0004</t>
  </si>
  <si>
    <t>EGD-0005</t>
  </si>
  <si>
    <t>EGD-0006</t>
  </si>
  <si>
    <t>EGD-0007</t>
  </si>
  <si>
    <t>EGD-0008</t>
  </si>
  <si>
    <t>EGD-0009</t>
  </si>
  <si>
    <t>EGD-0010</t>
  </si>
  <si>
    <t>EGD-0011</t>
  </si>
  <si>
    <t>EGD-0012</t>
  </si>
  <si>
    <t>EGD-0013</t>
  </si>
  <si>
    <t>EGD-0014</t>
  </si>
  <si>
    <t>EGD-0015</t>
  </si>
  <si>
    <t>EGD-0016</t>
  </si>
  <si>
    <t>EGD-0017</t>
  </si>
  <si>
    <t>EGD-0018</t>
  </si>
  <si>
    <t>EGD-0019</t>
  </si>
  <si>
    <t>EGD-0020</t>
  </si>
  <si>
    <t>EGD-0021</t>
  </si>
  <si>
    <t>EGD-0022</t>
  </si>
  <si>
    <t>EGD-0023</t>
  </si>
  <si>
    <t>EGD-0024</t>
  </si>
  <si>
    <t>EGD-0025</t>
  </si>
  <si>
    <t>EGD-0026</t>
  </si>
  <si>
    <t>EGD-0027</t>
  </si>
  <si>
    <t>EGD-0028</t>
  </si>
  <si>
    <t>EGD-0029</t>
  </si>
  <si>
    <t>EGD-0030</t>
  </si>
  <si>
    <t>EGD-0031</t>
  </si>
  <si>
    <t>EGD-0032</t>
  </si>
  <si>
    <t>EGD-0033</t>
  </si>
  <si>
    <t>EGD-0034</t>
  </si>
  <si>
    <t>EGD-0035</t>
  </si>
  <si>
    <t>EGD-0036</t>
  </si>
  <si>
    <t>EGD-0037</t>
  </si>
  <si>
    <t>EGD-0038</t>
  </si>
  <si>
    <t>EGD-0039</t>
  </si>
  <si>
    <t>EGD-0040</t>
  </si>
  <si>
    <t>EGD-0041</t>
  </si>
  <si>
    <t>EGD-0042</t>
  </si>
  <si>
    <t>EGD-0043</t>
  </si>
  <si>
    <t>EGD-0044</t>
  </si>
  <si>
    <t>EGD-0045</t>
  </si>
  <si>
    <t>EGD-0046</t>
  </si>
  <si>
    <t>EGD-0047</t>
  </si>
  <si>
    <t>EGD-0048</t>
  </si>
  <si>
    <t>EGD-0049</t>
  </si>
  <si>
    <t>EGD-0050</t>
  </si>
  <si>
    <t>EGD-0051</t>
  </si>
  <si>
    <t>EGD-0052</t>
  </si>
  <si>
    <t>EGD-0053</t>
  </si>
  <si>
    <t>EGD-0054</t>
  </si>
  <si>
    <t>EGD-0055</t>
  </si>
  <si>
    <t>EGD-0056</t>
  </si>
  <si>
    <t>EGD-0057</t>
  </si>
  <si>
    <t>EGD-0058</t>
  </si>
  <si>
    <t>EGD-0059</t>
  </si>
  <si>
    <t>EGD-0060</t>
  </si>
  <si>
    <t>EGD-0061</t>
  </si>
  <si>
    <t>EGD-0062</t>
  </si>
  <si>
    <t>EGD-0063</t>
  </si>
  <si>
    <t>EGD-0064</t>
  </si>
  <si>
    <t>EGD-0065</t>
  </si>
  <si>
    <t>EGD-0066</t>
  </si>
  <si>
    <t>EGD-0067</t>
  </si>
  <si>
    <t>EGD-0068</t>
  </si>
  <si>
    <t>EGD-0069</t>
  </si>
  <si>
    <t>EGD-0070</t>
  </si>
  <si>
    <t>EGD-0071</t>
  </si>
  <si>
    <t>EGD-0072</t>
  </si>
  <si>
    <t>EGD-0073</t>
  </si>
  <si>
    <t>EGD-0074</t>
  </si>
  <si>
    <t>EGD-0075</t>
  </si>
  <si>
    <t>EGD-0076</t>
  </si>
  <si>
    <t>EGD-0077</t>
  </si>
  <si>
    <t>EGD-0078</t>
  </si>
  <si>
    <t>EGD-0079</t>
  </si>
  <si>
    <t>EGD-0080</t>
  </si>
  <si>
    <t>EGD-0081</t>
  </si>
  <si>
    <t>EGD-0082</t>
  </si>
  <si>
    <t>EGD-0083</t>
  </si>
  <si>
    <t>EGD-0084</t>
  </si>
  <si>
    <t>EGD-0085</t>
  </si>
  <si>
    <t>EGD-0086</t>
  </si>
  <si>
    <t>EGD-0087</t>
  </si>
  <si>
    <t>EGD-0088</t>
  </si>
  <si>
    <t>EGD-0089</t>
  </si>
  <si>
    <t>EGD-0090</t>
  </si>
  <si>
    <t>EGD-0091</t>
  </si>
  <si>
    <t>EGD-0092</t>
  </si>
  <si>
    <t>EGD-0093</t>
  </si>
  <si>
    <t>EGD-0094</t>
  </si>
  <si>
    <t>EGD-0095</t>
  </si>
  <si>
    <t>EGD-0096</t>
  </si>
  <si>
    <t>EGD-0097</t>
  </si>
  <si>
    <t>EGD-0098</t>
  </si>
  <si>
    <t>EGD-0099</t>
  </si>
  <si>
    <t>EGD-0100</t>
  </si>
  <si>
    <t>EGD-0101</t>
  </si>
  <si>
    <t>EGD-0102</t>
  </si>
  <si>
    <t>EGD-0103</t>
  </si>
  <si>
    <t>EGD-0104</t>
  </si>
  <si>
    <t>EGD-0105</t>
  </si>
  <si>
    <t>EGD-0106</t>
  </si>
  <si>
    <t>EGD-0107</t>
  </si>
  <si>
    <t>EGD-0108</t>
  </si>
  <si>
    <t>EGD-0109</t>
  </si>
  <si>
    <t>EGD-0110</t>
  </si>
  <si>
    <t>EGD-0111</t>
  </si>
  <si>
    <t>EGD-0112</t>
  </si>
  <si>
    <t>EGD-0113</t>
  </si>
  <si>
    <t>EGD-0114</t>
  </si>
  <si>
    <t>EGD-0115</t>
  </si>
  <si>
    <t>EGD-0116</t>
  </si>
  <si>
    <t>EGD-0117</t>
  </si>
  <si>
    <t>EGD-0118</t>
  </si>
  <si>
    <t>EGD-0119</t>
  </si>
  <si>
    <t>EGD-0120</t>
  </si>
  <si>
    <t>EGD-0121</t>
  </si>
  <si>
    <t>EGD-0122</t>
  </si>
  <si>
    <t>EGD-0123</t>
  </si>
  <si>
    <t>EGD-0124</t>
  </si>
  <si>
    <t>EGD-0125</t>
  </si>
  <si>
    <t>EGD-0126</t>
  </si>
  <si>
    <t>EGD-0127</t>
  </si>
  <si>
    <t>EGD-0128</t>
  </si>
  <si>
    <t>EGD-0129</t>
  </si>
  <si>
    <t>EGD-0130</t>
  </si>
  <si>
    <t>EGD-0131</t>
  </si>
  <si>
    <t>EGD-0132</t>
  </si>
  <si>
    <t>EGD-0133</t>
  </si>
  <si>
    <t>EGD-0134</t>
  </si>
  <si>
    <t>EGD-0135</t>
  </si>
  <si>
    <t>EGD-0136</t>
  </si>
  <si>
    <t>EGD-0137</t>
  </si>
  <si>
    <t>EGD-0138</t>
  </si>
  <si>
    <t>EGD-0139</t>
  </si>
  <si>
    <t>EGD-0140</t>
  </si>
  <si>
    <t>EGD-0141</t>
  </si>
  <si>
    <t>EGD-0142</t>
  </si>
  <si>
    <t>EGD-0143</t>
  </si>
  <si>
    <t>EGD-0144</t>
  </si>
  <si>
    <t>EGD-0145</t>
  </si>
  <si>
    <t>EGD-0146</t>
  </si>
  <si>
    <t>EGD-0147</t>
  </si>
  <si>
    <t>EGD-0148</t>
  </si>
  <si>
    <t>EGD-0149</t>
  </si>
  <si>
    <t>EGD-0150</t>
  </si>
  <si>
    <t>EGD-0151</t>
  </si>
  <si>
    <t>EGD-0152</t>
  </si>
  <si>
    <t>EGD-0153</t>
  </si>
  <si>
    <t>EGD-0154</t>
  </si>
  <si>
    <t>EGD-0155</t>
  </si>
  <si>
    <t>EGD-0156</t>
  </si>
  <si>
    <t>EGD-0157</t>
  </si>
  <si>
    <t>EGD-0158</t>
  </si>
  <si>
    <t>EGD-0159</t>
  </si>
  <si>
    <t>EGD-0160</t>
  </si>
  <si>
    <t>EGD-0161</t>
  </si>
  <si>
    <t>EGD-0162</t>
  </si>
  <si>
    <t>EGD-0163</t>
  </si>
  <si>
    <t>EGD-0164</t>
  </si>
  <si>
    <t>EGD-0165</t>
  </si>
  <si>
    <t>EGD-0166</t>
  </si>
  <si>
    <t>EGD-0167</t>
  </si>
  <si>
    <t>EGD-0168</t>
  </si>
  <si>
    <t>EGD-0169</t>
  </si>
  <si>
    <t>EGD-0170</t>
  </si>
  <si>
    <t>EGD-0171</t>
  </si>
  <si>
    <t>EGD-0172</t>
  </si>
  <si>
    <t>EGD-0173</t>
  </si>
  <si>
    <t>EGD-0174</t>
  </si>
  <si>
    <t>EGD-0175</t>
  </si>
  <si>
    <t>EGD-0176</t>
  </si>
  <si>
    <t>EGD-0177</t>
  </si>
  <si>
    <t>EGD-0178</t>
  </si>
  <si>
    <t>EGD-0179</t>
  </si>
  <si>
    <t>EGD-0180</t>
  </si>
  <si>
    <t>EGD-0181</t>
  </si>
  <si>
    <t>EGD-0182</t>
  </si>
  <si>
    <t>EGD-0183</t>
  </si>
  <si>
    <t>EGD-0184</t>
  </si>
  <si>
    <t>EGD-0185</t>
  </si>
  <si>
    <t>EGD-0186</t>
  </si>
  <si>
    <t>EGD-0187</t>
  </si>
  <si>
    <t>EGD-0188</t>
  </si>
  <si>
    <t>EGD-0189</t>
  </si>
  <si>
    <t>EGD-0190</t>
  </si>
  <si>
    <t>EGD-0191</t>
  </si>
  <si>
    <t>EGD-0192</t>
  </si>
  <si>
    <t>EGD-0193</t>
  </si>
  <si>
    <t>EGD-0194</t>
  </si>
  <si>
    <t>EGD-0195</t>
  </si>
  <si>
    <t>EGD-0196</t>
  </si>
  <si>
    <t>EGD-0197</t>
  </si>
  <si>
    <t>EGD-0198</t>
  </si>
  <si>
    <t>EGD-0199</t>
  </si>
  <si>
    <t>EGD-0200</t>
  </si>
  <si>
    <t>EGD-0201</t>
  </si>
  <si>
    <t>EGD-0202</t>
  </si>
  <si>
    <t>EGD-0203</t>
  </si>
  <si>
    <t>EGD-0204</t>
  </si>
  <si>
    <t>EGD-0205</t>
  </si>
  <si>
    <t>EGD-0206</t>
  </si>
  <si>
    <t>EGD-0207</t>
  </si>
  <si>
    <t>EGD-0208</t>
  </si>
  <si>
    <t>EGD-0209</t>
  </si>
  <si>
    <t>EGD-0210</t>
  </si>
  <si>
    <t>EGD-0211</t>
  </si>
  <si>
    <t>EGD-0212</t>
  </si>
  <si>
    <t>EGD-0213</t>
  </si>
  <si>
    <t>EGD-0214</t>
  </si>
  <si>
    <t>EGD-0215</t>
  </si>
  <si>
    <t>EGD-0216</t>
  </si>
  <si>
    <t>EGD-0217</t>
  </si>
  <si>
    <t>EGD-0218</t>
  </si>
  <si>
    <t>EGD-0219</t>
  </si>
  <si>
    <t>EGD-0220</t>
  </si>
  <si>
    <t>EGD-0221</t>
  </si>
  <si>
    <t>EGD-0222</t>
  </si>
  <si>
    <t>EGD-0223</t>
  </si>
  <si>
    <t>EGD-0224</t>
  </si>
  <si>
    <t>EGD-0225</t>
  </si>
  <si>
    <t>EGD-0226</t>
  </si>
  <si>
    <t>EGD-0227</t>
  </si>
  <si>
    <t>EGD-0228</t>
  </si>
  <si>
    <t>EGD-0229</t>
  </si>
  <si>
    <t>EGD-0230</t>
  </si>
  <si>
    <t>EGD-0231</t>
  </si>
  <si>
    <t>EGD-0232</t>
  </si>
  <si>
    <t>EGD-0233</t>
  </si>
  <si>
    <t>EGD-0234</t>
  </si>
  <si>
    <t>EGD-0235</t>
  </si>
  <si>
    <t>EGD-0236</t>
  </si>
  <si>
    <t>EGD-0237</t>
  </si>
  <si>
    <t>EGD-0238</t>
  </si>
  <si>
    <t>EGD-0239</t>
  </si>
  <si>
    <t>EGD-0240</t>
  </si>
  <si>
    <t>EGD-0241</t>
  </si>
  <si>
    <t>EGD-0242</t>
  </si>
  <si>
    <t>EGD-0243</t>
  </si>
  <si>
    <t>EGD-0244</t>
  </si>
  <si>
    <t>EGD-0245</t>
  </si>
  <si>
    <t>EGD-0246</t>
  </si>
  <si>
    <t>EGD-0247</t>
  </si>
  <si>
    <t>EGD-0248</t>
  </si>
  <si>
    <t>EGD-0249</t>
  </si>
  <si>
    <t>EGD-0250</t>
  </si>
  <si>
    <t>EGD-0251</t>
  </si>
  <si>
    <t>EGD-0252</t>
  </si>
  <si>
    <t>EGD-0253</t>
  </si>
  <si>
    <t>EGD-0254</t>
  </si>
  <si>
    <t>EGD-0255</t>
  </si>
  <si>
    <t>EGD-0256</t>
  </si>
  <si>
    <t>EGD-0257</t>
  </si>
  <si>
    <t>EGD-0258</t>
  </si>
  <si>
    <t>EGD-0259</t>
  </si>
  <si>
    <t>EGD-0260</t>
  </si>
  <si>
    <t>EGD-0261</t>
  </si>
  <si>
    <t>EGD-0262</t>
  </si>
  <si>
    <t>EGD-0263</t>
  </si>
  <si>
    <t>EGD-0264</t>
  </si>
  <si>
    <t>EGD-0265</t>
  </si>
  <si>
    <t>EGD-0266</t>
  </si>
  <si>
    <t>EGD-0267</t>
  </si>
  <si>
    <t>EGD-0268</t>
  </si>
  <si>
    <t>EGD-0269</t>
  </si>
  <si>
    <t>EGD-0270</t>
  </si>
  <si>
    <t>EGD-0271</t>
  </si>
  <si>
    <t>EGD-0272</t>
  </si>
  <si>
    <t>EGD-0273</t>
  </si>
  <si>
    <t>EGD-0274</t>
  </si>
  <si>
    <t>EGD-0275</t>
  </si>
  <si>
    <t>EGD-0276</t>
  </si>
  <si>
    <t>EGD-0277</t>
  </si>
  <si>
    <t>EGD-0278</t>
  </si>
  <si>
    <t>EGD-0279</t>
  </si>
  <si>
    <t>EGD-0280</t>
  </si>
  <si>
    <t>EGD-0281</t>
  </si>
  <si>
    <t>EGD-0282</t>
  </si>
  <si>
    <t>EGD-0283</t>
  </si>
  <si>
    <t>EGD-0284</t>
  </si>
  <si>
    <t>EGD-0285</t>
  </si>
  <si>
    <t>EGD-0286</t>
  </si>
  <si>
    <t>EGD-0287</t>
  </si>
  <si>
    <t>EGD-0288</t>
  </si>
  <si>
    <t>EGD-0289</t>
  </si>
  <si>
    <t>EGD-0290</t>
  </si>
  <si>
    <t>EGD-0291</t>
  </si>
  <si>
    <t>EGD-0292</t>
  </si>
  <si>
    <t>EGD-0293</t>
  </si>
  <si>
    <t>EGD-0294</t>
  </si>
  <si>
    <t>EGD-0295</t>
  </si>
  <si>
    <t>EGD-0296</t>
  </si>
  <si>
    <t>EGD-0297</t>
  </si>
  <si>
    <t>EGD-0298</t>
  </si>
  <si>
    <t>EGD-0299</t>
  </si>
  <si>
    <t>EGD-0300</t>
  </si>
  <si>
    <t>EGD-0301</t>
  </si>
  <si>
    <t>EGD-0302</t>
  </si>
  <si>
    <t>EGD-0303</t>
  </si>
  <si>
    <t>EGD-0304</t>
  </si>
  <si>
    <t>EGD-0305</t>
  </si>
  <si>
    <t>EGD-0306</t>
  </si>
  <si>
    <t>EGD-0307</t>
  </si>
  <si>
    <t>EGD-0308</t>
  </si>
  <si>
    <t>EGD-0309</t>
  </si>
  <si>
    <t>EGD-0310</t>
  </si>
  <si>
    <t>EGD-0311</t>
  </si>
  <si>
    <t>EGD-0312</t>
  </si>
  <si>
    <t>EGD-0313</t>
  </si>
  <si>
    <t>EGD-0314</t>
  </si>
  <si>
    <t>EGD-0315</t>
  </si>
  <si>
    <t>EGD-0316</t>
  </si>
  <si>
    <t>EGD-0317</t>
  </si>
  <si>
    <t>EGD-0318</t>
  </si>
  <si>
    <t>EGD-0319</t>
  </si>
  <si>
    <t>EGD-0320</t>
  </si>
  <si>
    <t>EGD-0321</t>
  </si>
  <si>
    <t>EGD-0322</t>
  </si>
  <si>
    <t>EGD-0323</t>
  </si>
  <si>
    <t>EGD-0324</t>
  </si>
  <si>
    <t>EGD-0325</t>
  </si>
  <si>
    <t>EGD-0326</t>
  </si>
  <si>
    <t>EGD-0327</t>
  </si>
  <si>
    <t>EGD-0328</t>
  </si>
  <si>
    <t>EGD-0329</t>
  </si>
  <si>
    <t>EGD-0330</t>
  </si>
  <si>
    <t>EGD-0331</t>
  </si>
  <si>
    <t>EGD-0332</t>
  </si>
  <si>
    <t>EGD-0333</t>
  </si>
  <si>
    <t>EGD-0334</t>
  </si>
  <si>
    <t>EGD-0335</t>
  </si>
  <si>
    <t>EGD-0336</t>
  </si>
  <si>
    <t>EGD-0337</t>
  </si>
  <si>
    <t>EGD-0338</t>
  </si>
  <si>
    <t>EGD-0339</t>
  </si>
  <si>
    <t>EGD-0340</t>
  </si>
  <si>
    <t>EGD-0341</t>
  </si>
  <si>
    <t>EGD-0342</t>
  </si>
  <si>
    <t>EGD-0343</t>
  </si>
  <si>
    <t>EGD-0344</t>
  </si>
  <si>
    <t>EGD-0345</t>
  </si>
  <si>
    <t>EGD-0346</t>
  </si>
  <si>
    <t>EGD-0347</t>
  </si>
  <si>
    <t>EGD-0348</t>
  </si>
  <si>
    <t>EGD-0349</t>
  </si>
  <si>
    <t>EGD-0350</t>
  </si>
  <si>
    <t>EGD-0351</t>
  </si>
  <si>
    <t>EGD-0352</t>
  </si>
  <si>
    <t>EGD-0353</t>
  </si>
  <si>
    <t>EGD-0354</t>
  </si>
  <si>
    <t>EGD-0355</t>
  </si>
  <si>
    <t>EGD-0356</t>
  </si>
  <si>
    <t>EGD-0357</t>
  </si>
  <si>
    <t>EGD-0358</t>
  </si>
  <si>
    <t>EGD-0359</t>
  </si>
  <si>
    <t>EGD-0360</t>
  </si>
  <si>
    <t>EGD-0361</t>
  </si>
  <si>
    <t>EGD-0362</t>
  </si>
  <si>
    <t>EGD-0363</t>
  </si>
  <si>
    <t>EGD-0364</t>
  </si>
  <si>
    <t>EGD-0365</t>
  </si>
  <si>
    <t>EGD-0366</t>
  </si>
  <si>
    <t>EGD-0367</t>
  </si>
  <si>
    <t>EGD-0368</t>
  </si>
  <si>
    <t>EGD-0369</t>
  </si>
  <si>
    <t>EGD-0370</t>
  </si>
  <si>
    <t>EGD-0371</t>
  </si>
  <si>
    <t>EGD-0372</t>
  </si>
  <si>
    <t>EGD-0373</t>
  </si>
  <si>
    <t>EGD-0374</t>
  </si>
  <si>
    <t>EGD-0375</t>
  </si>
  <si>
    <t>EGD-0376</t>
  </si>
  <si>
    <t>EGD-0377</t>
  </si>
  <si>
    <t>EGD-0378</t>
  </si>
  <si>
    <t>EGD-0379</t>
  </si>
  <si>
    <t>EGD-0380</t>
  </si>
  <si>
    <t>EGD-0381</t>
  </si>
  <si>
    <t>EGD-0382</t>
  </si>
  <si>
    <t>EGD-0383</t>
  </si>
  <si>
    <t>EGD-0384</t>
  </si>
  <si>
    <t>EGD-0385</t>
  </si>
  <si>
    <t>EGD-0386</t>
  </si>
  <si>
    <t>EGD-0387</t>
  </si>
  <si>
    <t>EGD-0388</t>
  </si>
  <si>
    <t>EGD-0389</t>
  </si>
  <si>
    <t>EGD-0390</t>
  </si>
  <si>
    <t>EGD-0391</t>
  </si>
  <si>
    <t>EGD-0392</t>
  </si>
  <si>
    <t>EGD-0393</t>
  </si>
  <si>
    <t>EGD-0394</t>
  </si>
  <si>
    <t>EGD-0395</t>
  </si>
  <si>
    <t>EGD-0396</t>
  </si>
  <si>
    <t>EGD-0397</t>
  </si>
  <si>
    <t>EGD-0398</t>
  </si>
  <si>
    <t>EGD-0399</t>
  </si>
  <si>
    <t>EGD-0400</t>
  </si>
  <si>
    <t>EGD-0401</t>
  </si>
  <si>
    <t>EGD-0402</t>
  </si>
  <si>
    <t>EGD-0403</t>
  </si>
  <si>
    <t>EGD-0404</t>
  </si>
  <si>
    <t>EGD-0405</t>
  </si>
  <si>
    <t>EGD-0406</t>
  </si>
  <si>
    <t>EGD-0407</t>
  </si>
  <si>
    <t>EGD-0408</t>
  </si>
  <si>
    <t>EGD-0409</t>
  </si>
  <si>
    <t>EGD-0410</t>
  </si>
  <si>
    <t>EGD-0411</t>
  </si>
  <si>
    <t>EGD-0412</t>
  </si>
  <si>
    <t>EGD-0413</t>
  </si>
  <si>
    <t>EGD-0414</t>
  </si>
  <si>
    <t>EGD-0415</t>
  </si>
  <si>
    <t>EGD-0416</t>
  </si>
  <si>
    <t>EGD-0417</t>
  </si>
  <si>
    <t>EGD-0418</t>
  </si>
  <si>
    <t>EGD-0419</t>
  </si>
  <si>
    <t>EGD-0420</t>
  </si>
  <si>
    <t>EGD-0421</t>
  </si>
  <si>
    <t>EGD-0422</t>
  </si>
  <si>
    <t>EGD-0423</t>
  </si>
  <si>
    <t>EGD-0424</t>
  </si>
  <si>
    <t>EGD-0425</t>
  </si>
  <si>
    <t>EGD-0426</t>
  </si>
  <si>
    <t>EGD-0427</t>
  </si>
  <si>
    <t>EGD-0428</t>
  </si>
  <si>
    <t>EGD-0429</t>
  </si>
  <si>
    <t>EGD-0430</t>
  </si>
  <si>
    <t>EGD-0431</t>
  </si>
  <si>
    <t>EGD-0432</t>
  </si>
  <si>
    <t>EGD-0433</t>
  </si>
  <si>
    <t>EGD-0434</t>
  </si>
  <si>
    <t>EGD-0435</t>
  </si>
  <si>
    <t>EGD-0436</t>
  </si>
  <si>
    <t>EGD-0437</t>
  </si>
  <si>
    <t>EGD-0438</t>
  </si>
  <si>
    <t>EGD-0439</t>
  </si>
  <si>
    <t>EGD-0440</t>
  </si>
  <si>
    <t>EGD-0441</t>
  </si>
  <si>
    <t>EGD-0442</t>
  </si>
  <si>
    <t>EGD-0443</t>
  </si>
  <si>
    <t>EGD-0444</t>
  </si>
  <si>
    <t>EGD-0445</t>
  </si>
  <si>
    <t>EGD-0446</t>
  </si>
  <si>
    <t>EGD-0447</t>
  </si>
  <si>
    <t>EGD-0448</t>
  </si>
  <si>
    <t>EGD-0449</t>
  </si>
  <si>
    <t>EGD-0450</t>
  </si>
  <si>
    <t>EGD-0451</t>
  </si>
  <si>
    <t>EGD-0452</t>
  </si>
  <si>
    <t>EGD-0453</t>
  </si>
  <si>
    <t>EGD-0454</t>
  </si>
  <si>
    <t>EGD-0455</t>
  </si>
  <si>
    <t>EGD-0456</t>
  </si>
  <si>
    <t>EGD-0457</t>
  </si>
  <si>
    <t>EGD-0458</t>
  </si>
  <si>
    <t>EGD-0459</t>
  </si>
  <si>
    <t>EGD-0460</t>
  </si>
  <si>
    <t>EGD-0461</t>
  </si>
  <si>
    <t>EGD-0462</t>
  </si>
  <si>
    <t>EGD-0463</t>
  </si>
  <si>
    <t>EGD-0464</t>
  </si>
  <si>
    <t>EGD-0465</t>
  </si>
  <si>
    <t>EGD-0466</t>
  </si>
  <si>
    <t>EGD-0467</t>
  </si>
  <si>
    <t>EGD-0468</t>
  </si>
  <si>
    <t>EGD-0469</t>
  </si>
  <si>
    <t>EGD-0470</t>
  </si>
  <si>
    <t>EGD-0471</t>
  </si>
  <si>
    <t>EGD-0472</t>
  </si>
  <si>
    <t>EGD-0473</t>
  </si>
  <si>
    <t>EGD-0474</t>
  </si>
  <si>
    <t>EGD-0475</t>
  </si>
  <si>
    <t>EGD-0476</t>
  </si>
  <si>
    <t>EGD-0477</t>
  </si>
  <si>
    <t>EGD-0478</t>
  </si>
  <si>
    <t>EGD-0479</t>
  </si>
  <si>
    <t>EGD-0480</t>
  </si>
  <si>
    <t>EGD-0481</t>
  </si>
  <si>
    <t>EGD-0482</t>
  </si>
  <si>
    <t>EGD-0483</t>
  </si>
  <si>
    <t>EGD-0484</t>
  </si>
  <si>
    <t>EGD-0485</t>
  </si>
  <si>
    <t>EGD-0486</t>
  </si>
  <si>
    <t>EGD-0487</t>
  </si>
  <si>
    <t>EGD-0488</t>
  </si>
  <si>
    <t>EGD-0489</t>
  </si>
  <si>
    <t>EGD-0490</t>
  </si>
  <si>
    <t>EGD-0491</t>
  </si>
  <si>
    <t>EGD-0492</t>
  </si>
  <si>
    <t>EGD-0493</t>
  </si>
  <si>
    <t>EGD-0494</t>
  </si>
  <si>
    <t>EGD-0495</t>
  </si>
  <si>
    <t>EGD-0496</t>
  </si>
  <si>
    <t>EGD-0497</t>
  </si>
  <si>
    <t>EGD-0498</t>
  </si>
  <si>
    <t>EGD-0499</t>
  </si>
  <si>
    <t>EGD-0500</t>
  </si>
  <si>
    <t>EGD-0501</t>
  </si>
  <si>
    <t>EGD-0502</t>
  </si>
  <si>
    <t>EGD-0503</t>
  </si>
  <si>
    <t>EGD-0504</t>
  </si>
  <si>
    <t>EGD-0505</t>
  </si>
  <si>
    <t>EGD-0506</t>
  </si>
  <si>
    <t>EGD-0507</t>
  </si>
  <si>
    <t>EGD-0508</t>
  </si>
  <si>
    <t>EGD-0509</t>
  </si>
  <si>
    <t>EGD-0510</t>
  </si>
  <si>
    <t>EGD-0511</t>
  </si>
  <si>
    <t>EGD-0512</t>
  </si>
  <si>
    <t>EGD-0513</t>
  </si>
  <si>
    <t>EGD-0514</t>
  </si>
  <si>
    <t>EGD-0515</t>
  </si>
  <si>
    <t>EGD-0516</t>
  </si>
  <si>
    <t>EGD-0517</t>
  </si>
  <si>
    <t>EGD-0518</t>
  </si>
  <si>
    <t>EGD-0519</t>
  </si>
  <si>
    <t>EGD-0520</t>
  </si>
  <si>
    <t>EGD-0521</t>
  </si>
  <si>
    <t>EGD-0522</t>
  </si>
  <si>
    <t>EGD-0523</t>
  </si>
  <si>
    <t>EGD-0524</t>
  </si>
  <si>
    <t>EGD-0525</t>
  </si>
  <si>
    <t>EGD-0526</t>
  </si>
  <si>
    <t>EGD-0527</t>
  </si>
  <si>
    <t>EGD-0528</t>
  </si>
  <si>
    <t>EGD-0529</t>
  </si>
  <si>
    <t>EGD-0530</t>
  </si>
  <si>
    <t>EGD-0531</t>
  </si>
  <si>
    <t>EGD-0532</t>
  </si>
  <si>
    <t>EGD-0533</t>
  </si>
  <si>
    <t>EGD-0534</t>
  </si>
  <si>
    <t>EGD-0535</t>
  </si>
  <si>
    <t>EGD-0536</t>
  </si>
  <si>
    <t>EGD-0537</t>
  </si>
  <si>
    <t>EGD-0538</t>
  </si>
  <si>
    <t>EGD-0539</t>
  </si>
  <si>
    <t>EGD-0540</t>
  </si>
  <si>
    <t>EGD-0541</t>
  </si>
  <si>
    <t>EGD-0542</t>
  </si>
  <si>
    <t>EGD-0543</t>
  </si>
  <si>
    <t>EGD-0544</t>
  </si>
  <si>
    <t>EGD-0545</t>
  </si>
  <si>
    <t>EGD-0546</t>
  </si>
  <si>
    <t>EGD-0547</t>
  </si>
  <si>
    <t>EGD-0548</t>
  </si>
  <si>
    <t>EGD-0549</t>
  </si>
  <si>
    <t>EGD-0550</t>
  </si>
  <si>
    <t>EGD-0551</t>
  </si>
  <si>
    <t>EGD-0552</t>
  </si>
  <si>
    <t>EGD-0553</t>
  </si>
  <si>
    <t>EGD-0554</t>
  </si>
  <si>
    <t>EGD-0555</t>
  </si>
  <si>
    <t>EGD-0556</t>
  </si>
  <si>
    <t>EGD-0557</t>
  </si>
  <si>
    <t>EGD-0558</t>
  </si>
  <si>
    <t>EGD-0559</t>
  </si>
  <si>
    <t>EGD-0560</t>
  </si>
  <si>
    <t>EGD-0561</t>
  </si>
  <si>
    <t>EGD-0562</t>
  </si>
  <si>
    <t>EGD-0563</t>
  </si>
  <si>
    <t>EGD-0564</t>
  </si>
  <si>
    <t>EGD-0565</t>
  </si>
  <si>
    <t>EGD-0566</t>
  </si>
  <si>
    <t>EGD-0567</t>
  </si>
  <si>
    <t>EGD-0568</t>
  </si>
  <si>
    <t>EGD-0569</t>
  </si>
  <si>
    <t>EGD-0570</t>
  </si>
  <si>
    <t>EGD-0571</t>
  </si>
  <si>
    <t>EGD-0572</t>
  </si>
  <si>
    <t>EGD-0573</t>
  </si>
  <si>
    <t>EGD-0574</t>
  </si>
  <si>
    <t>EGD-0575</t>
  </si>
  <si>
    <t>EGD-0576</t>
  </si>
  <si>
    <t>EGD-0577</t>
  </si>
  <si>
    <t>EGD-0578</t>
  </si>
  <si>
    <t>EGD-0579</t>
  </si>
  <si>
    <t>EGD-0580</t>
  </si>
  <si>
    <t>EGD-0581</t>
  </si>
  <si>
    <t>EGD-0582</t>
  </si>
  <si>
    <t>EGD-0583</t>
  </si>
  <si>
    <t>EGD-0584</t>
  </si>
  <si>
    <t>EGD-0585</t>
  </si>
  <si>
    <t>EGD-0586</t>
  </si>
  <si>
    <t>EGD-0587</t>
  </si>
  <si>
    <t>EGD-0588</t>
  </si>
  <si>
    <t>EGD-0589</t>
  </si>
  <si>
    <t>EGD-0590</t>
  </si>
  <si>
    <t>EGD-0591</t>
  </si>
  <si>
    <t>EGD-0592</t>
  </si>
  <si>
    <t>EGD-0593</t>
  </si>
  <si>
    <t>EGD-0594</t>
  </si>
  <si>
    <t>EGD-0595</t>
  </si>
  <si>
    <t>EGD-0596</t>
  </si>
  <si>
    <t>EGD-0597</t>
  </si>
  <si>
    <t>EGD-0598</t>
  </si>
  <si>
    <t>EGD-0599</t>
  </si>
  <si>
    <t>EGD-0600</t>
  </si>
  <si>
    <t>EGD-0601</t>
  </si>
  <si>
    <t>EGD-0602</t>
  </si>
  <si>
    <t>EGD-0603</t>
  </si>
  <si>
    <t>EGD-0604</t>
  </si>
  <si>
    <t>EGD-0605</t>
  </si>
  <si>
    <t>EGD-0606</t>
  </si>
  <si>
    <t>EGD-0607</t>
  </si>
  <si>
    <t>EGD-0608</t>
  </si>
  <si>
    <t>EGD-0609</t>
  </si>
  <si>
    <t>EGD-0610</t>
  </si>
  <si>
    <t>EGD-0611</t>
  </si>
  <si>
    <t>EGD-0612</t>
  </si>
  <si>
    <t>EGD-0613</t>
  </si>
  <si>
    <t>EGD-0614</t>
  </si>
  <si>
    <t>EGD-0615</t>
  </si>
  <si>
    <t>EGD-0616</t>
  </si>
  <si>
    <t>EGD-0617</t>
  </si>
  <si>
    <t>EGD-0618</t>
  </si>
  <si>
    <t>EGD-0619</t>
  </si>
  <si>
    <t>EGD-0620</t>
  </si>
  <si>
    <t>EGD-0621</t>
  </si>
  <si>
    <t>EGD-0622</t>
  </si>
  <si>
    <t>EGD-0623</t>
  </si>
  <si>
    <t>EGD-0624</t>
  </si>
  <si>
    <t>EGD-0625</t>
  </si>
  <si>
    <t>EGD-0626</t>
  </si>
  <si>
    <t>EGD-0627</t>
  </si>
  <si>
    <t>EGD-0628</t>
  </si>
  <si>
    <t>EGD-0629</t>
  </si>
  <si>
    <t>EGD-0630</t>
  </si>
  <si>
    <t>EGD-0631</t>
  </si>
  <si>
    <t>EGD-0632</t>
  </si>
  <si>
    <t>EGD-0633</t>
  </si>
  <si>
    <t>EGD-0634</t>
  </si>
  <si>
    <t>EGD-0635</t>
  </si>
  <si>
    <t>EGD-0636</t>
  </si>
  <si>
    <t>EGD-0637</t>
  </si>
  <si>
    <t>EGD-0638</t>
  </si>
  <si>
    <t>EGD-0639</t>
  </si>
  <si>
    <t>EGD-0640</t>
  </si>
  <si>
    <t>EGD-0641</t>
  </si>
  <si>
    <t>EGD-0642</t>
  </si>
  <si>
    <t>EGD-0643</t>
  </si>
  <si>
    <t>EGD-0644</t>
  </si>
  <si>
    <t>EGD-0645</t>
  </si>
  <si>
    <t>EGD-0646</t>
  </si>
  <si>
    <t>EGD-0647</t>
  </si>
  <si>
    <t>EGD-0648</t>
  </si>
  <si>
    <t>EGD-0649</t>
  </si>
  <si>
    <t>EGD-0650</t>
  </si>
  <si>
    <t>EGD-0651</t>
  </si>
  <si>
    <t>EGD-0652</t>
  </si>
  <si>
    <t>EGD-0653</t>
  </si>
  <si>
    <t>EGD-0654</t>
  </si>
  <si>
    <t>EGD-0655</t>
  </si>
  <si>
    <t>EGD-0656</t>
  </si>
  <si>
    <t>EGD-0657</t>
  </si>
  <si>
    <t>EGD-0658</t>
  </si>
  <si>
    <t>EGD-0659</t>
  </si>
  <si>
    <t>EGD-0660</t>
  </si>
  <si>
    <t>EGD-0661</t>
  </si>
  <si>
    <t>EGD-0662</t>
  </si>
  <si>
    <t>EGD-0663</t>
  </si>
  <si>
    <t>EGD-0664</t>
  </si>
  <si>
    <t>EGD-0665</t>
  </si>
  <si>
    <t>EGD-0666</t>
  </si>
  <si>
    <t>EGD-0667</t>
  </si>
  <si>
    <t>EGD-0668</t>
  </si>
  <si>
    <t>EGD-0669</t>
  </si>
  <si>
    <t>EGD-0670</t>
  </si>
  <si>
    <t>EGD-0671</t>
  </si>
  <si>
    <t>EGD-0672</t>
  </si>
  <si>
    <t>EGD-0673</t>
  </si>
  <si>
    <t>EGD-0674</t>
  </si>
  <si>
    <t>EGD-0675</t>
  </si>
  <si>
    <t>EGD-0676</t>
  </si>
  <si>
    <t>EGD-0677</t>
  </si>
  <si>
    <t>EGD-0678</t>
  </si>
  <si>
    <t>EGD-0679</t>
  </si>
  <si>
    <t>EGD-0680</t>
  </si>
  <si>
    <t>EGD-0681</t>
  </si>
  <si>
    <t>EGD-0682</t>
  </si>
  <si>
    <t>EGD-0683</t>
  </si>
  <si>
    <t>EGD-0684</t>
  </si>
  <si>
    <t>EGD-0685</t>
  </si>
  <si>
    <t>EGD-0686</t>
  </si>
  <si>
    <t>EGD-0687</t>
  </si>
  <si>
    <t>EGD-0688</t>
  </si>
  <si>
    <t>EGD-0689</t>
  </si>
  <si>
    <t>EGD-0690</t>
  </si>
  <si>
    <t>EGD-0691</t>
  </si>
  <si>
    <t>EGD-0692</t>
  </si>
  <si>
    <t>EGD-0693</t>
  </si>
  <si>
    <t>EGD-0694</t>
  </si>
  <si>
    <t>EGD-0695</t>
  </si>
  <si>
    <t>EGD-0696</t>
  </si>
  <si>
    <t>EGD-0697</t>
  </si>
  <si>
    <t>EGD-0698</t>
  </si>
  <si>
    <t>EGD-0699</t>
  </si>
  <si>
    <t>EGD-0700</t>
  </si>
  <si>
    <t>EGD-0701</t>
  </si>
  <si>
    <t>EGD-0702</t>
  </si>
  <si>
    <t>EGD-0703</t>
  </si>
  <si>
    <t>EGD-0704</t>
  </si>
  <si>
    <t>EGD-0705</t>
  </si>
  <si>
    <t>EGD-0706</t>
  </si>
  <si>
    <t>EGD-0707</t>
  </si>
  <si>
    <t>EGD-0708</t>
  </si>
  <si>
    <t>EGD-0709</t>
  </si>
  <si>
    <t>EGD-0710</t>
  </si>
  <si>
    <t>EGD-0711</t>
  </si>
  <si>
    <t>EGD-0712</t>
  </si>
  <si>
    <t>EGD-0713</t>
  </si>
  <si>
    <t>EGD-0714</t>
  </si>
  <si>
    <t>EGD-0715</t>
  </si>
  <si>
    <t>EGD-0716</t>
  </si>
  <si>
    <t>EGD-0717</t>
  </si>
  <si>
    <t>EGD-0718</t>
  </si>
  <si>
    <t>EGD-0719</t>
  </si>
  <si>
    <t>EGD-0720</t>
  </si>
  <si>
    <t>EGD-0721</t>
  </si>
  <si>
    <t>EGD-0722</t>
  </si>
  <si>
    <t>EGD-0723</t>
  </si>
  <si>
    <t>EGD-0724</t>
  </si>
  <si>
    <t>EGD-0725</t>
  </si>
  <si>
    <t>EGD-0726</t>
  </si>
  <si>
    <t>EGD-0727</t>
  </si>
  <si>
    <t>EGD-0728</t>
  </si>
  <si>
    <t>EGD-0729</t>
  </si>
  <si>
    <t>EGD-0730</t>
  </si>
  <si>
    <t>EGD-0731</t>
  </si>
  <si>
    <t>EGD-0732</t>
  </si>
  <si>
    <t>EGD-0733</t>
  </si>
  <si>
    <t>EGD-0734</t>
  </si>
  <si>
    <t>EGD-0735</t>
  </si>
  <si>
    <t>EGD-0736</t>
  </si>
  <si>
    <t>EGD-0737</t>
  </si>
  <si>
    <t>EGD-0738</t>
  </si>
  <si>
    <t>EGD-0739</t>
  </si>
  <si>
    <t>EGD-0740</t>
  </si>
  <si>
    <t>EGD-0741</t>
  </si>
  <si>
    <t>EGD-0742</t>
  </si>
  <si>
    <t>EGD-0743</t>
  </si>
  <si>
    <t>EGD-0744</t>
  </si>
  <si>
    <t>EGD-0745</t>
  </si>
  <si>
    <t>EGD-0746</t>
  </si>
  <si>
    <t>EGD-0747</t>
  </si>
  <si>
    <t>EGD-0748</t>
  </si>
  <si>
    <t>EGD-0749</t>
  </si>
  <si>
    <t>EGD-0750</t>
  </si>
  <si>
    <t>EGD-0751</t>
  </si>
  <si>
    <t>EGD-0752</t>
  </si>
  <si>
    <t>EGD-0753</t>
  </si>
  <si>
    <t>EGD-0754</t>
  </si>
  <si>
    <t>EGD-0755</t>
  </si>
  <si>
    <t>EGD-0756</t>
  </si>
  <si>
    <t>EGD-0757</t>
  </si>
  <si>
    <t>EGD-0758</t>
  </si>
  <si>
    <t>EGD-0759</t>
  </si>
  <si>
    <t>EGD-0760</t>
  </si>
  <si>
    <t>EGD-0761</t>
  </si>
  <si>
    <t>EGD-0762</t>
  </si>
  <si>
    <t>EGD-0763</t>
  </si>
  <si>
    <t>EGD-0764</t>
  </si>
  <si>
    <t>EGD-0765</t>
  </si>
  <si>
    <t>EGD-0766</t>
  </si>
  <si>
    <t>EGD-0767</t>
  </si>
  <si>
    <t>EGD-0768</t>
  </si>
  <si>
    <t>EGD-0769</t>
  </si>
  <si>
    <t>EGD-0770</t>
  </si>
  <si>
    <t>EGD-0771</t>
  </si>
  <si>
    <t>EGD-0772</t>
  </si>
  <si>
    <t>EGD-0773</t>
  </si>
  <si>
    <t>EGD-0774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</si>
</sst>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bsd\11_radiomics_for_gliomas\02_train\trial_60\egd%20(1)\resources\PROJECT_DATA\Scan_characteristics.xlsx" TargetMode="External"/><Relationship Id="rId1" Type="http://schemas.openxmlformats.org/officeDocument/2006/relationships/externalLinkPath" Target="Scan_characteristic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bsd\11_radiomics_for_gliomas\02_train\trial_60\egd%20(1)\resources\PROJECT_DATA\Genetic_and_Histological_labels.xlsx" TargetMode="External"/><Relationship Id="rId1" Type="http://schemas.openxmlformats.org/officeDocument/2006/relationships/externalLinkPath" Target="Genetic_and_Histological_label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bsd\11_radiomics_for_gliomas\02_train\trial_60\egd%20(1)\resources\PROJECT_DATA\Segmentation_source.xlsx" TargetMode="External"/><Relationship Id="rId1" Type="http://schemas.openxmlformats.org/officeDocument/2006/relationships/externalLinkPath" Target="Segmentation_sour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Subject</v>
          </cell>
          <cell r="B1" t="str">
            <v>Manufacturer</v>
          </cell>
          <cell r="C1" t="str">
            <v>System</v>
          </cell>
          <cell r="D1" t="str">
            <v>Field</v>
          </cell>
        </row>
        <row r="2">
          <cell r="A2" t="str">
            <v>EGD-0001</v>
          </cell>
          <cell r="B2" t="str">
            <v>SIEMENS</v>
          </cell>
          <cell r="C2" t="str">
            <v>Symphony</v>
          </cell>
          <cell r="D2">
            <v>1.5</v>
          </cell>
        </row>
        <row r="3">
          <cell r="A3" t="str">
            <v>EGD-0002</v>
          </cell>
          <cell r="B3" t="str">
            <v>GE MEDICAL SYSTEMS</v>
          </cell>
          <cell r="C3" t="str">
            <v>GENESIS_SIGNA</v>
          </cell>
          <cell r="D3">
            <v>1</v>
          </cell>
        </row>
        <row r="4">
          <cell r="A4" t="str">
            <v>EGD-0003</v>
          </cell>
          <cell r="B4" t="str">
            <v>GE MEDICAL SYSTEMS</v>
          </cell>
          <cell r="C4" t="str">
            <v>Signa HDxt</v>
          </cell>
          <cell r="D4">
            <v>1.5</v>
          </cell>
        </row>
        <row r="5">
          <cell r="A5" t="str">
            <v>EGD-0004</v>
          </cell>
          <cell r="B5" t="str">
            <v>SIEMENS</v>
          </cell>
          <cell r="C5" t="str">
            <v>Avanto</v>
          </cell>
          <cell r="D5">
            <v>1.5</v>
          </cell>
        </row>
        <row r="6">
          <cell r="A6" t="str">
            <v>EGD-0005</v>
          </cell>
          <cell r="B6" t="str">
            <v>GE MEDICAL SYSTEMS</v>
          </cell>
          <cell r="C6" t="str">
            <v>GENESIS_SIGNA</v>
          </cell>
          <cell r="D6">
            <v>1</v>
          </cell>
        </row>
        <row r="7">
          <cell r="A7" t="str">
            <v>EGD-0006</v>
          </cell>
          <cell r="B7" t="str">
            <v>SIEMENS</v>
          </cell>
          <cell r="C7" t="str">
            <v>Symphony</v>
          </cell>
          <cell r="D7">
            <v>1.5</v>
          </cell>
        </row>
        <row r="8">
          <cell r="A8" t="str">
            <v>EGD-0007</v>
          </cell>
          <cell r="B8" t="str">
            <v>GE MEDICAL SYSTEMS</v>
          </cell>
          <cell r="C8" t="str">
            <v>DISCOVERY MR750</v>
          </cell>
          <cell r="D8">
            <v>3</v>
          </cell>
        </row>
        <row r="9">
          <cell r="A9" t="str">
            <v>EGD-0008</v>
          </cell>
          <cell r="B9" t="str">
            <v>SIEMENS</v>
          </cell>
          <cell r="C9" t="str">
            <v>Avanto</v>
          </cell>
          <cell r="D9">
            <v>1.5</v>
          </cell>
        </row>
        <row r="10">
          <cell r="A10" t="str">
            <v>EGD-0009</v>
          </cell>
          <cell r="B10" t="str">
            <v>Philips Medical Systems</v>
          </cell>
          <cell r="C10" t="str">
            <v>NT Intera</v>
          </cell>
          <cell r="D10">
            <v>1</v>
          </cell>
        </row>
        <row r="11">
          <cell r="A11" t="str">
            <v>EGD-0010</v>
          </cell>
          <cell r="B11" t="str">
            <v>Philips Medical Systems</v>
          </cell>
          <cell r="C11" t="str">
            <v>Intera</v>
          </cell>
          <cell r="D11">
            <v>1</v>
          </cell>
        </row>
        <row r="12">
          <cell r="A12" t="str">
            <v>EGD-0011</v>
          </cell>
          <cell r="B12" t="str">
            <v>SIEMENS</v>
          </cell>
          <cell r="C12" t="str">
            <v>Symphony</v>
          </cell>
          <cell r="D12">
            <v>1.5</v>
          </cell>
        </row>
        <row r="13">
          <cell r="A13" t="str">
            <v>EGD-0012</v>
          </cell>
          <cell r="B13" t="str">
            <v>Philips Medical Systems</v>
          </cell>
          <cell r="C13" t="str">
            <v>Intera</v>
          </cell>
          <cell r="D13">
            <v>1</v>
          </cell>
        </row>
        <row r="14">
          <cell r="A14" t="str">
            <v>EGD-0013</v>
          </cell>
          <cell r="B14" t="str">
            <v>GE MEDICAL SYSTEMS</v>
          </cell>
          <cell r="C14" t="str">
            <v>GENESIS_SIGNA</v>
          </cell>
          <cell r="D14">
            <v>1</v>
          </cell>
        </row>
        <row r="15">
          <cell r="A15" t="str">
            <v>EGD-0014</v>
          </cell>
          <cell r="B15" t="str">
            <v>GE MEDICAL SYSTEMS</v>
          </cell>
          <cell r="C15" t="str">
            <v>DISCOVERY MR450</v>
          </cell>
          <cell r="D15">
            <v>1.5</v>
          </cell>
        </row>
        <row r="16">
          <cell r="A16" t="str">
            <v>EGD-0015</v>
          </cell>
          <cell r="B16" t="str">
            <v>SIEMENS</v>
          </cell>
          <cell r="C16" t="str">
            <v>Symphony</v>
          </cell>
          <cell r="D16">
            <v>1.5</v>
          </cell>
        </row>
        <row r="17">
          <cell r="A17" t="str">
            <v>EGD-0016</v>
          </cell>
          <cell r="B17" t="str">
            <v>GE MEDICAL SYSTEMS</v>
          </cell>
          <cell r="C17" t="str">
            <v>GENESIS_SIGNA</v>
          </cell>
          <cell r="D17">
            <v>1</v>
          </cell>
        </row>
        <row r="18">
          <cell r="A18" t="str">
            <v>EGD-0017</v>
          </cell>
          <cell r="B18" t="str">
            <v>SIEMENS</v>
          </cell>
          <cell r="C18" t="str">
            <v>Avanto</v>
          </cell>
          <cell r="D18">
            <v>1.5</v>
          </cell>
        </row>
        <row r="19">
          <cell r="A19" t="str">
            <v>EGD-0018</v>
          </cell>
          <cell r="B19" t="str">
            <v>SIEMENS</v>
          </cell>
          <cell r="C19" t="str">
            <v>Symphony</v>
          </cell>
          <cell r="D19">
            <v>1.5</v>
          </cell>
        </row>
        <row r="20">
          <cell r="A20" t="str">
            <v>EGD-0019</v>
          </cell>
          <cell r="B20" t="str">
            <v>Philips Medical Systems</v>
          </cell>
          <cell r="C20" t="str">
            <v>Gyroscan NT</v>
          </cell>
          <cell r="D20">
            <v>0.5</v>
          </cell>
        </row>
        <row r="21">
          <cell r="A21" t="str">
            <v>EGD-0020</v>
          </cell>
          <cell r="B21" t="str">
            <v>GE MEDICAL SYSTEMS</v>
          </cell>
          <cell r="C21" t="str">
            <v>DISCOVERY MR450</v>
          </cell>
          <cell r="D21">
            <v>1.5</v>
          </cell>
        </row>
        <row r="22">
          <cell r="A22" t="str">
            <v>EGD-0021</v>
          </cell>
          <cell r="B22" t="str">
            <v>Philips Medical Systems</v>
          </cell>
          <cell r="C22" t="str">
            <v>Intera</v>
          </cell>
          <cell r="D22">
            <v>1</v>
          </cell>
        </row>
        <row r="23">
          <cell r="A23" t="str">
            <v>EGD-0022</v>
          </cell>
          <cell r="B23" t="str">
            <v>SIEMENS</v>
          </cell>
          <cell r="C23" t="str">
            <v>Avanto</v>
          </cell>
          <cell r="D23">
            <v>1.5</v>
          </cell>
        </row>
        <row r="24">
          <cell r="A24" t="str">
            <v>EGD-0023</v>
          </cell>
          <cell r="B24" t="str">
            <v>Philips Medical Systems</v>
          </cell>
          <cell r="C24" t="str">
            <v>Intera</v>
          </cell>
          <cell r="D24">
            <v>1.5</v>
          </cell>
        </row>
        <row r="25">
          <cell r="A25" t="str">
            <v>EGD-0024</v>
          </cell>
          <cell r="B25" t="str">
            <v>SIEMENS</v>
          </cell>
          <cell r="C25" t="str">
            <v>Avanto</v>
          </cell>
          <cell r="D25">
            <v>1.5</v>
          </cell>
        </row>
        <row r="26">
          <cell r="A26" t="str">
            <v>EGD-0025</v>
          </cell>
          <cell r="B26" t="str">
            <v>GE MEDICAL SYSTEMS</v>
          </cell>
          <cell r="C26" t="str">
            <v>GENESIS_SIGNA</v>
          </cell>
          <cell r="D26">
            <v>1</v>
          </cell>
        </row>
        <row r="27">
          <cell r="A27" t="str">
            <v>EGD-0026</v>
          </cell>
          <cell r="B27" t="str">
            <v>SIEMENS</v>
          </cell>
          <cell r="C27" t="str">
            <v>Avanto</v>
          </cell>
          <cell r="D27">
            <v>1.5</v>
          </cell>
        </row>
        <row r="28">
          <cell r="A28" t="str">
            <v>EGD-0027</v>
          </cell>
          <cell r="B28" t="str">
            <v>Philips Medical Systems</v>
          </cell>
          <cell r="C28" t="str">
            <v>Intera</v>
          </cell>
          <cell r="D28">
            <v>1.5</v>
          </cell>
        </row>
        <row r="29">
          <cell r="A29" t="str">
            <v>EGD-0028</v>
          </cell>
          <cell r="B29" t="str">
            <v>SIEMENS</v>
          </cell>
          <cell r="C29" t="str">
            <v>Aera</v>
          </cell>
          <cell r="D29">
            <v>1.5</v>
          </cell>
        </row>
        <row r="30">
          <cell r="A30" t="str">
            <v>EGD-0029</v>
          </cell>
          <cell r="B30" t="str">
            <v>SIEMENS</v>
          </cell>
          <cell r="C30" t="str">
            <v>Symphony</v>
          </cell>
          <cell r="D30">
            <v>1.5</v>
          </cell>
        </row>
        <row r="31">
          <cell r="A31" t="str">
            <v>EGD-0030</v>
          </cell>
          <cell r="B31" t="str">
            <v>SIEMENS</v>
          </cell>
          <cell r="C31" t="str">
            <v>C!</v>
          </cell>
          <cell r="D31">
            <v>0.5</v>
          </cell>
        </row>
        <row r="32">
          <cell r="A32" t="str">
            <v>EGD-0031</v>
          </cell>
          <cell r="B32" t="str">
            <v>GE MEDICAL SYSTEMS</v>
          </cell>
          <cell r="C32" t="str">
            <v>DISCOVERY MR450</v>
          </cell>
          <cell r="D32">
            <v>1.5</v>
          </cell>
        </row>
        <row r="33">
          <cell r="A33" t="str">
            <v>EGD-0032</v>
          </cell>
          <cell r="B33" t="str">
            <v>SIEMENS</v>
          </cell>
          <cell r="C33" t="str">
            <v>Symphony</v>
          </cell>
          <cell r="D33">
            <v>1.5</v>
          </cell>
        </row>
        <row r="34">
          <cell r="A34" t="str">
            <v>EGD-0033</v>
          </cell>
          <cell r="B34" t="str">
            <v>Philips Medical Systems</v>
          </cell>
          <cell r="C34" t="str">
            <v>Achieva</v>
          </cell>
          <cell r="D34">
            <v>1.5</v>
          </cell>
        </row>
        <row r="35">
          <cell r="A35" t="str">
            <v>EGD-0034</v>
          </cell>
          <cell r="B35" t="str">
            <v>Philips Healthcare</v>
          </cell>
          <cell r="C35" t="str">
            <v>Ingenia</v>
          </cell>
          <cell r="D35">
            <v>3</v>
          </cell>
        </row>
        <row r="36">
          <cell r="A36" t="str">
            <v>EGD-0035</v>
          </cell>
          <cell r="B36" t="str">
            <v>SIEMENS</v>
          </cell>
          <cell r="C36" t="str">
            <v>MAGNETOM_ESSENZA</v>
          </cell>
          <cell r="D36">
            <v>1.5</v>
          </cell>
        </row>
        <row r="37">
          <cell r="A37" t="str">
            <v>EGD-0036</v>
          </cell>
          <cell r="B37" t="str">
            <v>SIEMENS</v>
          </cell>
          <cell r="C37" t="str">
            <v>Harmony</v>
          </cell>
          <cell r="D37">
            <v>1</v>
          </cell>
        </row>
        <row r="38">
          <cell r="A38" t="str">
            <v>EGD-0037</v>
          </cell>
          <cell r="B38" t="str">
            <v>GE MEDICAL SYSTEMS</v>
          </cell>
          <cell r="C38" t="str">
            <v>DISCOVERY MR450</v>
          </cell>
          <cell r="D38">
            <v>1.5</v>
          </cell>
        </row>
        <row r="39">
          <cell r="A39" t="str">
            <v>EGD-0038</v>
          </cell>
          <cell r="B39" t="str">
            <v>GE MEDICAL SYSTEMS</v>
          </cell>
          <cell r="C39" t="str">
            <v>Signa HDxt</v>
          </cell>
          <cell r="D39">
            <v>1.5</v>
          </cell>
        </row>
        <row r="40">
          <cell r="A40" t="str">
            <v>EGD-0039</v>
          </cell>
          <cell r="B40" t="str">
            <v>GE MEDICAL SYSTEMS</v>
          </cell>
          <cell r="C40" t="str">
            <v>GENESIS_SIGNA</v>
          </cell>
          <cell r="D40">
            <v>1</v>
          </cell>
        </row>
        <row r="41">
          <cell r="A41" t="str">
            <v>EGD-0040</v>
          </cell>
          <cell r="B41" t="str">
            <v>GE MEDICAL SYSTEMS</v>
          </cell>
          <cell r="C41" t="str">
            <v>GENESIS_SIGNA</v>
          </cell>
          <cell r="D41">
            <v>1</v>
          </cell>
        </row>
        <row r="42">
          <cell r="A42" t="str">
            <v>EGD-0041</v>
          </cell>
          <cell r="B42" t="str">
            <v>SIEMENS</v>
          </cell>
          <cell r="C42" t="str">
            <v>MAGNETOM_ESSENZA</v>
          </cell>
          <cell r="D42">
            <v>1.5</v>
          </cell>
        </row>
        <row r="43">
          <cell r="A43" t="str">
            <v>EGD-0042</v>
          </cell>
          <cell r="B43" t="str">
            <v>Philips Medical Systems</v>
          </cell>
          <cell r="C43" t="str">
            <v>Achieva</v>
          </cell>
          <cell r="D43">
            <v>1.5</v>
          </cell>
        </row>
        <row r="44">
          <cell r="A44" t="str">
            <v>EGD-0043</v>
          </cell>
          <cell r="B44" t="str">
            <v>SIEMENS</v>
          </cell>
          <cell r="C44" t="str">
            <v>Symphony</v>
          </cell>
          <cell r="D44">
            <v>1.5</v>
          </cell>
        </row>
        <row r="45">
          <cell r="A45" t="str">
            <v>EGD-0044</v>
          </cell>
          <cell r="B45" t="str">
            <v>Philips Medical Systems</v>
          </cell>
          <cell r="C45" t="str">
            <v>Intera</v>
          </cell>
          <cell r="D45">
            <v>1.5</v>
          </cell>
        </row>
        <row r="46">
          <cell r="A46" t="str">
            <v>EGD-0045</v>
          </cell>
          <cell r="B46" t="str">
            <v>SIEMENS</v>
          </cell>
          <cell r="C46" t="str">
            <v>Skyra</v>
          </cell>
          <cell r="D46">
            <v>3</v>
          </cell>
        </row>
        <row r="47">
          <cell r="A47" t="str">
            <v>EGD-0046</v>
          </cell>
          <cell r="B47" t="str">
            <v>Philips Medical Systems</v>
          </cell>
          <cell r="C47" t="str">
            <v>NT Intera</v>
          </cell>
          <cell r="D47">
            <v>1.5</v>
          </cell>
        </row>
        <row r="48">
          <cell r="A48" t="str">
            <v>EGD-0047</v>
          </cell>
          <cell r="B48" t="str">
            <v>SIEMENS</v>
          </cell>
          <cell r="C48" t="str">
            <v>Avanto</v>
          </cell>
          <cell r="D48">
            <v>1.5</v>
          </cell>
        </row>
        <row r="49">
          <cell r="A49" t="str">
            <v>EGD-0048</v>
          </cell>
          <cell r="B49" t="str">
            <v>SIEMENS</v>
          </cell>
          <cell r="C49" t="str">
            <v>Symphony</v>
          </cell>
          <cell r="D49">
            <v>1.5</v>
          </cell>
        </row>
        <row r="50">
          <cell r="A50" t="str">
            <v>EGD-0049</v>
          </cell>
          <cell r="B50" t="str">
            <v>SIEMENS</v>
          </cell>
          <cell r="C50" t="str">
            <v>Sonata</v>
          </cell>
          <cell r="D50">
            <v>1.5</v>
          </cell>
        </row>
        <row r="51">
          <cell r="A51" t="str">
            <v>EGD-0050</v>
          </cell>
          <cell r="B51" t="str">
            <v>SIEMENS</v>
          </cell>
          <cell r="C51" t="str">
            <v>Avanto</v>
          </cell>
          <cell r="D51">
            <v>1.5</v>
          </cell>
        </row>
        <row r="52">
          <cell r="A52" t="str">
            <v>EGD-0051</v>
          </cell>
          <cell r="B52" t="str">
            <v>GE MEDICAL SYSTEMS</v>
          </cell>
          <cell r="C52" t="str">
            <v>SIGNA HDx</v>
          </cell>
          <cell r="D52">
            <v>1.5</v>
          </cell>
        </row>
        <row r="53">
          <cell r="A53" t="str">
            <v>EGD-0052</v>
          </cell>
          <cell r="B53" t="str">
            <v>Philips Medical Systems</v>
          </cell>
          <cell r="C53" t="str">
            <v>Intera</v>
          </cell>
          <cell r="D53">
            <v>1.5</v>
          </cell>
        </row>
        <row r="54">
          <cell r="A54" t="str">
            <v>EGD-0053</v>
          </cell>
          <cell r="B54" t="str">
            <v>SIEMENS</v>
          </cell>
          <cell r="C54" t="str">
            <v>Symphony</v>
          </cell>
          <cell r="D54">
            <v>1.5</v>
          </cell>
        </row>
        <row r="55">
          <cell r="A55" t="str">
            <v>EGD-0054</v>
          </cell>
          <cell r="B55" t="str">
            <v>SIEMENS</v>
          </cell>
          <cell r="C55" t="str">
            <v>Avanto</v>
          </cell>
          <cell r="D55">
            <v>1.5</v>
          </cell>
        </row>
        <row r="56">
          <cell r="A56" t="str">
            <v>EGD-0055</v>
          </cell>
          <cell r="B56" t="str">
            <v>SIEMENS</v>
          </cell>
          <cell r="C56" t="str">
            <v>MAGNETOM_ESSENZA</v>
          </cell>
          <cell r="D56">
            <v>1.5</v>
          </cell>
        </row>
        <row r="57">
          <cell r="A57" t="str">
            <v>EGD-0056</v>
          </cell>
          <cell r="B57" t="str">
            <v>GE MEDICAL SYSTEMS</v>
          </cell>
          <cell r="C57" t="str">
            <v>DISCOVERY MR450</v>
          </cell>
          <cell r="D57">
            <v>1.5</v>
          </cell>
        </row>
        <row r="58">
          <cell r="A58" t="str">
            <v>EGD-0057</v>
          </cell>
          <cell r="B58" t="str">
            <v>SIEMENS</v>
          </cell>
          <cell r="C58" t="str">
            <v>Symphony</v>
          </cell>
          <cell r="D58">
            <v>1.5</v>
          </cell>
        </row>
        <row r="59">
          <cell r="A59" t="str">
            <v>EGD-0058</v>
          </cell>
          <cell r="B59" t="str">
            <v>SIEMENS</v>
          </cell>
          <cell r="C59" t="str">
            <v>Skyra</v>
          </cell>
          <cell r="D59">
            <v>3</v>
          </cell>
        </row>
        <row r="60">
          <cell r="A60" t="str">
            <v>EGD-0059</v>
          </cell>
          <cell r="B60" t="str">
            <v>SIEMENS</v>
          </cell>
          <cell r="C60" t="str">
            <v>Skyra</v>
          </cell>
          <cell r="D60">
            <v>3</v>
          </cell>
        </row>
        <row r="61">
          <cell r="A61" t="str">
            <v>EGD-0060</v>
          </cell>
          <cell r="B61" t="str">
            <v>Philips Healthcare</v>
          </cell>
          <cell r="C61" t="str">
            <v>Ingenia</v>
          </cell>
          <cell r="D61">
            <v>1.5</v>
          </cell>
        </row>
        <row r="62">
          <cell r="A62" t="str">
            <v>EGD-0061</v>
          </cell>
          <cell r="B62" t="str">
            <v>Philips Medical Systems</v>
          </cell>
          <cell r="C62" t="str">
            <v>Intera</v>
          </cell>
          <cell r="D62">
            <v>1.5</v>
          </cell>
        </row>
        <row r="63">
          <cell r="A63" t="str">
            <v>EGD-0062</v>
          </cell>
          <cell r="B63" t="str">
            <v>SIEMENS</v>
          </cell>
          <cell r="C63" t="str">
            <v>MAGNETOM_ESSENZA</v>
          </cell>
          <cell r="D63">
            <v>1.5</v>
          </cell>
        </row>
        <row r="64">
          <cell r="A64" t="str">
            <v>EGD-0063</v>
          </cell>
          <cell r="B64" t="str">
            <v>SIEMENS</v>
          </cell>
          <cell r="C64" t="str">
            <v>Aera</v>
          </cell>
          <cell r="D64">
            <v>1.5</v>
          </cell>
        </row>
        <row r="65">
          <cell r="A65" t="str">
            <v>EGD-0064</v>
          </cell>
          <cell r="B65" t="str">
            <v>GE MEDICAL SYSTEMS</v>
          </cell>
          <cell r="C65" t="str">
            <v>DISCOVERY MR450</v>
          </cell>
          <cell r="D65">
            <v>1.5</v>
          </cell>
        </row>
        <row r="66">
          <cell r="A66" t="str">
            <v>EGD-0065</v>
          </cell>
          <cell r="B66" t="str">
            <v>GE MEDICAL SYSTEMS</v>
          </cell>
          <cell r="C66" t="str">
            <v>Signa HDxt</v>
          </cell>
          <cell r="D66">
            <v>1.5</v>
          </cell>
        </row>
        <row r="67">
          <cell r="A67" t="str">
            <v>EGD-0066</v>
          </cell>
          <cell r="B67" t="str">
            <v>SIEMENS</v>
          </cell>
          <cell r="C67" t="str">
            <v>MAGNETOM EXPERT</v>
          </cell>
          <cell r="D67">
            <v>1</v>
          </cell>
        </row>
        <row r="68">
          <cell r="A68" t="str">
            <v>EGD-0067</v>
          </cell>
          <cell r="B68" t="str">
            <v>Philips Medical Systems</v>
          </cell>
          <cell r="C68" t="str">
            <v>Achieva</v>
          </cell>
          <cell r="D68">
            <v>1.5</v>
          </cell>
        </row>
        <row r="69">
          <cell r="A69" t="str">
            <v>EGD-0068</v>
          </cell>
          <cell r="B69" t="str">
            <v>SIEMENS</v>
          </cell>
          <cell r="C69" t="str">
            <v>Avanto</v>
          </cell>
          <cell r="D69">
            <v>1.5</v>
          </cell>
        </row>
        <row r="70">
          <cell r="A70" t="str">
            <v>EGD-0069</v>
          </cell>
          <cell r="B70" t="str">
            <v>Philips Medical Systems</v>
          </cell>
          <cell r="C70" t="str">
            <v>Intera</v>
          </cell>
          <cell r="D70">
            <v>1.5</v>
          </cell>
        </row>
        <row r="71">
          <cell r="A71" t="str">
            <v>EGD-0070</v>
          </cell>
          <cell r="B71" t="str">
            <v>GE MEDICAL SYSTEMS</v>
          </cell>
          <cell r="C71" t="str">
            <v>DISCOVERY MR750</v>
          </cell>
          <cell r="D71">
            <v>3</v>
          </cell>
        </row>
        <row r="72">
          <cell r="A72" t="str">
            <v>EGD-0071</v>
          </cell>
          <cell r="B72" t="str">
            <v>Philips Medical Systems</v>
          </cell>
          <cell r="C72" t="str">
            <v>Intera</v>
          </cell>
          <cell r="D72">
            <v>1</v>
          </cell>
        </row>
        <row r="73">
          <cell r="A73" t="str">
            <v>EGD-0072</v>
          </cell>
          <cell r="B73" t="str">
            <v>GE MEDICAL SYSTEMS</v>
          </cell>
          <cell r="C73" t="str">
            <v>DISCOVERY MR450</v>
          </cell>
          <cell r="D73">
            <v>1.5</v>
          </cell>
        </row>
        <row r="74">
          <cell r="A74" t="str">
            <v>EGD-0073</v>
          </cell>
          <cell r="B74" t="str">
            <v>SIEMENS</v>
          </cell>
          <cell r="C74" t="str">
            <v>Avanto</v>
          </cell>
          <cell r="D74">
            <v>1.5</v>
          </cell>
        </row>
        <row r="75">
          <cell r="A75" t="str">
            <v>EGD-0074</v>
          </cell>
          <cell r="B75" t="str">
            <v>Philips Medical Systems</v>
          </cell>
          <cell r="C75" t="str">
            <v>Intera</v>
          </cell>
          <cell r="D75">
            <v>0.5</v>
          </cell>
        </row>
        <row r="76">
          <cell r="A76" t="str">
            <v>EGD-0075</v>
          </cell>
          <cell r="B76" t="str">
            <v>Philips Medical Systems</v>
          </cell>
          <cell r="C76" t="str">
            <v>Achieva dStream</v>
          </cell>
          <cell r="D76">
            <v>1.5</v>
          </cell>
        </row>
        <row r="77">
          <cell r="A77" t="str">
            <v>EGD-0076</v>
          </cell>
          <cell r="B77" t="str">
            <v>SIEMENS</v>
          </cell>
          <cell r="C77" t="str">
            <v>Sonata</v>
          </cell>
          <cell r="D77">
            <v>1.5</v>
          </cell>
        </row>
        <row r="78">
          <cell r="A78" t="str">
            <v>EGD-0077</v>
          </cell>
          <cell r="B78" t="str">
            <v>SIEMENS</v>
          </cell>
          <cell r="C78" t="str">
            <v>Symphony</v>
          </cell>
          <cell r="D78">
            <v>1.5</v>
          </cell>
        </row>
        <row r="79">
          <cell r="A79" t="str">
            <v>EGD-0078</v>
          </cell>
          <cell r="B79" t="str">
            <v>Philips Medical Systems</v>
          </cell>
          <cell r="C79" t="str">
            <v>Intera</v>
          </cell>
          <cell r="D79">
            <v>1</v>
          </cell>
        </row>
        <row r="80">
          <cell r="A80" t="str">
            <v>EGD-0079</v>
          </cell>
          <cell r="B80" t="str">
            <v>Philips Medical Systems</v>
          </cell>
          <cell r="C80" t="str">
            <v>Intera</v>
          </cell>
          <cell r="D80">
            <v>1</v>
          </cell>
        </row>
        <row r="81">
          <cell r="A81" t="str">
            <v>EGD-0080</v>
          </cell>
          <cell r="B81" t="str">
            <v>GE MEDICAL SYSTEMS</v>
          </cell>
          <cell r="C81" t="str">
            <v>DISCOVERY MR450</v>
          </cell>
          <cell r="D81">
            <v>1.5</v>
          </cell>
        </row>
        <row r="82">
          <cell r="A82" t="str">
            <v>EGD-0081</v>
          </cell>
          <cell r="B82" t="str">
            <v>SIEMENS</v>
          </cell>
          <cell r="C82" t="str">
            <v>Symphony</v>
          </cell>
          <cell r="D82">
            <v>1.5</v>
          </cell>
        </row>
        <row r="83">
          <cell r="A83" t="str">
            <v>EGD-0082</v>
          </cell>
          <cell r="B83" t="str">
            <v>SIEMENS</v>
          </cell>
          <cell r="C83" t="str">
            <v>Avanto</v>
          </cell>
          <cell r="D83">
            <v>1.5</v>
          </cell>
        </row>
        <row r="84">
          <cell r="A84" t="str">
            <v>EGD-0083</v>
          </cell>
          <cell r="B84" t="str">
            <v>SIEMENS</v>
          </cell>
          <cell r="C84" t="str">
            <v>Aera</v>
          </cell>
          <cell r="D84">
            <v>1.5</v>
          </cell>
        </row>
        <row r="85">
          <cell r="A85" t="str">
            <v>EGD-0084</v>
          </cell>
          <cell r="B85" t="str">
            <v>SIEMENS</v>
          </cell>
          <cell r="C85" t="str">
            <v>Skyra</v>
          </cell>
          <cell r="D85">
            <v>3</v>
          </cell>
        </row>
        <row r="86">
          <cell r="A86" t="str">
            <v>EGD-0085</v>
          </cell>
          <cell r="B86" t="str">
            <v>Philips Medical Systems</v>
          </cell>
          <cell r="C86" t="str">
            <v>Intera</v>
          </cell>
          <cell r="D86">
            <v>1.5</v>
          </cell>
        </row>
        <row r="87">
          <cell r="A87" t="str">
            <v>EGD-0086</v>
          </cell>
          <cell r="B87" t="str">
            <v>GE MEDICAL SYSTEMS</v>
          </cell>
          <cell r="C87" t="str">
            <v>DISCOVERY MR750</v>
          </cell>
          <cell r="D87">
            <v>3</v>
          </cell>
        </row>
        <row r="88">
          <cell r="A88" t="str">
            <v>EGD-0087</v>
          </cell>
          <cell r="B88" t="str">
            <v>Philips Medical Systems</v>
          </cell>
          <cell r="C88" t="str">
            <v>NT Intera</v>
          </cell>
          <cell r="D88">
            <v>1</v>
          </cell>
        </row>
        <row r="89">
          <cell r="A89" t="str">
            <v>EGD-0088</v>
          </cell>
          <cell r="B89" t="str">
            <v>Philips Medical Systems</v>
          </cell>
          <cell r="C89" t="str">
            <v>Achieva dStream</v>
          </cell>
          <cell r="D89">
            <v>1.5</v>
          </cell>
        </row>
        <row r="90">
          <cell r="A90" t="str">
            <v>EGD-0089</v>
          </cell>
          <cell r="B90" t="str">
            <v>GE MEDICAL SYSTEMS</v>
          </cell>
          <cell r="C90" t="str">
            <v>Optima MR450w</v>
          </cell>
          <cell r="D90">
            <v>1.5</v>
          </cell>
        </row>
        <row r="91">
          <cell r="A91" t="str">
            <v>EGD-0090</v>
          </cell>
          <cell r="B91" t="str">
            <v>SIEMENS</v>
          </cell>
          <cell r="C91" t="str">
            <v>MAGNETOM_ESSENZA</v>
          </cell>
          <cell r="D91">
            <v>1.5</v>
          </cell>
        </row>
        <row r="92">
          <cell r="A92" t="str">
            <v>EGD-0091</v>
          </cell>
          <cell r="B92" t="str">
            <v>Philips Medical Systems</v>
          </cell>
          <cell r="C92" t="str">
            <v>Achieva</v>
          </cell>
          <cell r="D92">
            <v>1.5</v>
          </cell>
        </row>
        <row r="93">
          <cell r="A93" t="str">
            <v>EGD-0092</v>
          </cell>
          <cell r="B93" t="str">
            <v>GE MEDICAL SYSTEMS</v>
          </cell>
          <cell r="C93" t="str">
            <v>DISCOVERY MR750</v>
          </cell>
          <cell r="D93">
            <v>3</v>
          </cell>
        </row>
        <row r="94">
          <cell r="A94" t="str">
            <v>EGD-0093</v>
          </cell>
          <cell r="B94" t="str">
            <v>Philips Medical Systems</v>
          </cell>
          <cell r="C94" t="str">
            <v>Intera</v>
          </cell>
          <cell r="D94">
            <v>1.5</v>
          </cell>
        </row>
        <row r="95">
          <cell r="A95" t="str">
            <v>EGD-0094</v>
          </cell>
          <cell r="B95" t="str">
            <v>Philips Healthcare</v>
          </cell>
          <cell r="C95" t="str">
            <v>Ingenia</v>
          </cell>
          <cell r="D95">
            <v>3</v>
          </cell>
        </row>
        <row r="96">
          <cell r="A96" t="str">
            <v>EGD-0095</v>
          </cell>
          <cell r="B96" t="str">
            <v>Philips Medical Systems</v>
          </cell>
          <cell r="C96" t="str">
            <v>Intera</v>
          </cell>
          <cell r="D96">
            <v>1.5</v>
          </cell>
        </row>
        <row r="97">
          <cell r="A97" t="str">
            <v>EGD-0096</v>
          </cell>
          <cell r="B97" t="str">
            <v>Philips Medical Systems</v>
          </cell>
          <cell r="C97" t="str">
            <v>Achieva</v>
          </cell>
          <cell r="D97">
            <v>1.5</v>
          </cell>
        </row>
        <row r="98">
          <cell r="A98" t="str">
            <v>EGD-0097</v>
          </cell>
          <cell r="B98" t="str">
            <v>Philips Medical Systems</v>
          </cell>
          <cell r="C98" t="str">
            <v>Achieva dStream</v>
          </cell>
          <cell r="D98">
            <v>1.5</v>
          </cell>
        </row>
        <row r="99">
          <cell r="A99" t="str">
            <v>EGD-0098</v>
          </cell>
          <cell r="B99" t="str">
            <v>Philips Medical Systems</v>
          </cell>
          <cell r="C99" t="str">
            <v>Gyroscan NT</v>
          </cell>
          <cell r="D99">
            <v>0.5</v>
          </cell>
        </row>
        <row r="100">
          <cell r="A100" t="str">
            <v>EGD-0099</v>
          </cell>
          <cell r="B100" t="str">
            <v>GE MEDICAL SYSTEMS</v>
          </cell>
          <cell r="C100" t="str">
            <v>Signa HDxt</v>
          </cell>
          <cell r="D100">
            <v>1.5</v>
          </cell>
        </row>
        <row r="101">
          <cell r="A101" t="str">
            <v>EGD-0100</v>
          </cell>
          <cell r="B101" t="str">
            <v>Philips Medical Systems</v>
          </cell>
          <cell r="C101" t="str">
            <v>Achieva</v>
          </cell>
          <cell r="D101">
            <v>1.5</v>
          </cell>
        </row>
        <row r="102">
          <cell r="A102" t="str">
            <v>EGD-0101</v>
          </cell>
          <cell r="B102" t="str">
            <v>SIEMENS</v>
          </cell>
          <cell r="C102" t="str">
            <v>Skyra</v>
          </cell>
          <cell r="D102">
            <v>3</v>
          </cell>
        </row>
        <row r="103">
          <cell r="A103" t="str">
            <v>EGD-0102</v>
          </cell>
          <cell r="B103" t="str">
            <v>Philips Medical Systems</v>
          </cell>
          <cell r="C103" t="str">
            <v>Intera</v>
          </cell>
          <cell r="D103">
            <v>1.5</v>
          </cell>
        </row>
        <row r="104">
          <cell r="A104" t="str">
            <v>EGD-0103</v>
          </cell>
          <cell r="B104" t="str">
            <v>SIEMENS</v>
          </cell>
          <cell r="C104" t="str">
            <v>Avanto</v>
          </cell>
          <cell r="D104">
            <v>1.5</v>
          </cell>
        </row>
        <row r="105">
          <cell r="A105" t="str">
            <v>EGD-0104</v>
          </cell>
          <cell r="B105" t="str">
            <v>SIEMENS</v>
          </cell>
          <cell r="C105" t="str">
            <v>Harmony</v>
          </cell>
          <cell r="D105">
            <v>1</v>
          </cell>
        </row>
        <row r="106">
          <cell r="A106" t="str">
            <v>EGD-0105</v>
          </cell>
          <cell r="B106" t="str">
            <v>Philips Medical Systems</v>
          </cell>
          <cell r="C106" t="str">
            <v>Intera</v>
          </cell>
          <cell r="D106">
            <v>1.5</v>
          </cell>
        </row>
        <row r="107">
          <cell r="A107" t="str">
            <v>EGD-0106</v>
          </cell>
          <cell r="B107" t="str">
            <v>GE MEDICAL SYSTEMS</v>
          </cell>
          <cell r="C107" t="str">
            <v>DISCOVERY MR450</v>
          </cell>
          <cell r="D107">
            <v>1.5</v>
          </cell>
        </row>
        <row r="108">
          <cell r="A108" t="str">
            <v>EGD-0107</v>
          </cell>
          <cell r="B108" t="str">
            <v>SIEMENS</v>
          </cell>
          <cell r="C108" t="str">
            <v>Aera</v>
          </cell>
          <cell r="D108">
            <v>1.5</v>
          </cell>
        </row>
        <row r="109">
          <cell r="A109" t="str">
            <v>EGD-0108</v>
          </cell>
          <cell r="B109" t="str">
            <v>SIEMENS</v>
          </cell>
          <cell r="C109" t="str">
            <v>Symphony</v>
          </cell>
          <cell r="D109">
            <v>1.5</v>
          </cell>
        </row>
        <row r="110">
          <cell r="A110" t="str">
            <v>EGD-0109</v>
          </cell>
          <cell r="B110" t="str">
            <v>GE MEDICAL SYSTEMS</v>
          </cell>
          <cell r="C110" t="str">
            <v>DISCOVERY MR450</v>
          </cell>
          <cell r="D110">
            <v>1.5</v>
          </cell>
        </row>
        <row r="111">
          <cell r="A111" t="str">
            <v>EGD-0110</v>
          </cell>
          <cell r="B111" t="str">
            <v>GE MEDICAL SYSTEMS</v>
          </cell>
          <cell r="C111" t="str">
            <v>DISCOVERY MR750</v>
          </cell>
          <cell r="D111">
            <v>3</v>
          </cell>
        </row>
        <row r="112">
          <cell r="A112" t="str">
            <v>EGD-0111</v>
          </cell>
          <cell r="B112" t="str">
            <v>SIEMENS</v>
          </cell>
          <cell r="C112" t="str">
            <v>Aera</v>
          </cell>
          <cell r="D112">
            <v>1.5</v>
          </cell>
        </row>
        <row r="113">
          <cell r="A113" t="str">
            <v>EGD-0112</v>
          </cell>
          <cell r="B113" t="str">
            <v>GE MEDICAL SYSTEMS</v>
          </cell>
          <cell r="C113" t="str">
            <v>GENESIS_SIGNA</v>
          </cell>
          <cell r="D113">
            <v>1.5</v>
          </cell>
        </row>
        <row r="114">
          <cell r="A114" t="str">
            <v>EGD-0113</v>
          </cell>
          <cell r="B114" t="str">
            <v>SIEMENS</v>
          </cell>
          <cell r="C114" t="str">
            <v>Avanto</v>
          </cell>
          <cell r="D114">
            <v>1.5</v>
          </cell>
        </row>
        <row r="115">
          <cell r="A115" t="str">
            <v>EGD-0114</v>
          </cell>
          <cell r="B115" t="str">
            <v>Philips Medical Systems</v>
          </cell>
          <cell r="C115" t="str">
            <v>Achieva</v>
          </cell>
          <cell r="D115">
            <v>1.5</v>
          </cell>
        </row>
        <row r="116">
          <cell r="A116" t="str">
            <v>EGD-0115</v>
          </cell>
          <cell r="B116" t="str">
            <v>GE MEDICAL SYSTEMS</v>
          </cell>
          <cell r="C116" t="str">
            <v>DISCOVERY MR450</v>
          </cell>
          <cell r="D116">
            <v>1.5</v>
          </cell>
        </row>
        <row r="117">
          <cell r="A117" t="str">
            <v>EGD-0116</v>
          </cell>
          <cell r="B117" t="str">
            <v>Philips Medical Systems</v>
          </cell>
          <cell r="C117" t="str">
            <v>Intera</v>
          </cell>
          <cell r="D117">
            <v>1.5</v>
          </cell>
        </row>
        <row r="118">
          <cell r="A118" t="str">
            <v>EGD-0117</v>
          </cell>
          <cell r="B118" t="str">
            <v>GE MEDICAL SYSTEMS</v>
          </cell>
          <cell r="C118" t="str">
            <v>Optima MR450w</v>
          </cell>
          <cell r="D118">
            <v>1.5</v>
          </cell>
        </row>
        <row r="119">
          <cell r="A119" t="str">
            <v>EGD-0118</v>
          </cell>
          <cell r="B119" t="str">
            <v>GE MEDICAL SYSTEMS</v>
          </cell>
          <cell r="C119" t="str">
            <v>SIGNA HDx</v>
          </cell>
          <cell r="D119">
            <v>1.5</v>
          </cell>
        </row>
        <row r="120">
          <cell r="A120" t="str">
            <v>EGD-0119</v>
          </cell>
          <cell r="B120" t="str">
            <v>Philips Medical Systems</v>
          </cell>
          <cell r="C120" t="str">
            <v>Intera</v>
          </cell>
          <cell r="D120">
            <v>1.5</v>
          </cell>
        </row>
        <row r="121">
          <cell r="A121" t="str">
            <v>EGD-0120</v>
          </cell>
          <cell r="B121" t="str">
            <v>SIEMENS</v>
          </cell>
          <cell r="C121" t="str">
            <v>Harmony</v>
          </cell>
          <cell r="D121">
            <v>1</v>
          </cell>
        </row>
        <row r="122">
          <cell r="A122" t="str">
            <v>EGD-0121</v>
          </cell>
          <cell r="B122" t="str">
            <v>SIEMENS</v>
          </cell>
          <cell r="C122" t="str">
            <v>Harmony</v>
          </cell>
          <cell r="D122">
            <v>1</v>
          </cell>
        </row>
        <row r="123">
          <cell r="A123" t="str">
            <v>EGD-0122</v>
          </cell>
          <cell r="B123" t="str">
            <v>SIEMENS</v>
          </cell>
          <cell r="C123" t="str">
            <v>MAGNETOM VISION</v>
          </cell>
          <cell r="D123">
            <v>1.5</v>
          </cell>
        </row>
        <row r="124">
          <cell r="A124" t="str">
            <v>EGD-0123</v>
          </cell>
          <cell r="B124" t="str">
            <v>SIEMENS</v>
          </cell>
          <cell r="C124" t="str">
            <v>Symphony</v>
          </cell>
          <cell r="D124">
            <v>1.5</v>
          </cell>
        </row>
        <row r="125">
          <cell r="A125" t="str">
            <v>EGD-0124</v>
          </cell>
          <cell r="B125" t="str">
            <v>SIEMENS</v>
          </cell>
          <cell r="C125" t="str">
            <v>TrioTim</v>
          </cell>
          <cell r="D125">
            <v>3</v>
          </cell>
        </row>
        <row r="126">
          <cell r="A126" t="str">
            <v>EGD-0125</v>
          </cell>
          <cell r="B126" t="str">
            <v>GE MEDICAL SYSTEMS</v>
          </cell>
          <cell r="C126" t="str">
            <v>DISCOVERY MR450</v>
          </cell>
          <cell r="D126">
            <v>1.5</v>
          </cell>
        </row>
        <row r="127">
          <cell r="A127" t="str">
            <v>EGD-0126</v>
          </cell>
          <cell r="B127" t="str">
            <v>SIEMENS</v>
          </cell>
          <cell r="C127" t="str">
            <v>Aera</v>
          </cell>
          <cell r="D127">
            <v>1.5</v>
          </cell>
        </row>
        <row r="128">
          <cell r="A128" t="str">
            <v>EGD-0127</v>
          </cell>
          <cell r="B128" t="str">
            <v>SIEMENS</v>
          </cell>
          <cell r="C128" t="str">
            <v>Aera</v>
          </cell>
          <cell r="D128">
            <v>1.5</v>
          </cell>
        </row>
        <row r="129">
          <cell r="A129" t="str">
            <v>EGD-0128</v>
          </cell>
          <cell r="B129" t="str">
            <v>GE MEDICAL SYSTEMS</v>
          </cell>
          <cell r="C129" t="str">
            <v>DISCOVERY MR450</v>
          </cell>
          <cell r="D129">
            <v>1.5</v>
          </cell>
        </row>
        <row r="130">
          <cell r="A130" t="str">
            <v>EGD-0129</v>
          </cell>
          <cell r="B130" t="str">
            <v>SIEMENS</v>
          </cell>
          <cell r="C130" t="str">
            <v>Avanto</v>
          </cell>
          <cell r="D130">
            <v>1.5</v>
          </cell>
        </row>
        <row r="131">
          <cell r="A131" t="str">
            <v>EGD-0130</v>
          </cell>
          <cell r="B131" t="str">
            <v>Philips Medical Systems</v>
          </cell>
          <cell r="C131" t="str">
            <v>Intera</v>
          </cell>
          <cell r="D131">
            <v>1.5</v>
          </cell>
        </row>
        <row r="132">
          <cell r="A132" t="str">
            <v>EGD-0131</v>
          </cell>
          <cell r="B132" t="str">
            <v>Philips Medical Systems</v>
          </cell>
          <cell r="C132" t="str">
            <v>Intera</v>
          </cell>
          <cell r="D132">
            <v>1.5</v>
          </cell>
        </row>
        <row r="133">
          <cell r="A133" t="str">
            <v>EGD-0132</v>
          </cell>
          <cell r="B133" t="str">
            <v>Philips Medical Systems</v>
          </cell>
          <cell r="C133" t="str">
            <v>Achieva</v>
          </cell>
          <cell r="D133">
            <v>1.5</v>
          </cell>
        </row>
        <row r="134">
          <cell r="A134" t="str">
            <v>EGD-0133</v>
          </cell>
          <cell r="B134" t="str">
            <v>SIEMENS</v>
          </cell>
          <cell r="C134" t="str">
            <v>Harmony</v>
          </cell>
          <cell r="D134">
            <v>1</v>
          </cell>
        </row>
        <row r="135">
          <cell r="A135" t="str">
            <v>EGD-0134</v>
          </cell>
          <cell r="B135" t="str">
            <v>SIEMENS</v>
          </cell>
          <cell r="C135" t="str">
            <v>Aera</v>
          </cell>
          <cell r="D135">
            <v>1.5</v>
          </cell>
        </row>
        <row r="136">
          <cell r="A136" t="str">
            <v>EGD-0135</v>
          </cell>
          <cell r="B136" t="str">
            <v>GE MEDICAL SYSTEMS</v>
          </cell>
          <cell r="C136" t="str">
            <v>DISCOVERY MR450</v>
          </cell>
          <cell r="D136">
            <v>1.5</v>
          </cell>
        </row>
        <row r="137">
          <cell r="A137" t="str">
            <v>EGD-0136</v>
          </cell>
          <cell r="B137" t="str">
            <v>GE MEDICAL SYSTEMS</v>
          </cell>
          <cell r="C137" t="str">
            <v>Optima MR450w</v>
          </cell>
          <cell r="D137">
            <v>1.5</v>
          </cell>
        </row>
        <row r="138">
          <cell r="A138" t="str">
            <v>EGD-0137</v>
          </cell>
          <cell r="B138" t="str">
            <v>Philips Medical Systems</v>
          </cell>
          <cell r="C138" t="str">
            <v>Achieva</v>
          </cell>
          <cell r="D138">
            <v>1.5</v>
          </cell>
        </row>
        <row r="139">
          <cell r="A139" t="str">
            <v>EGD-0138</v>
          </cell>
          <cell r="B139" t="str">
            <v>SIEMENS</v>
          </cell>
          <cell r="C139" t="str">
            <v>Avanto</v>
          </cell>
          <cell r="D139">
            <v>1.5</v>
          </cell>
        </row>
        <row r="140">
          <cell r="A140" t="str">
            <v>EGD-0139</v>
          </cell>
          <cell r="B140" t="str">
            <v>SIEMENS</v>
          </cell>
          <cell r="C140" t="str">
            <v>Avanto</v>
          </cell>
          <cell r="D140">
            <v>1.5</v>
          </cell>
        </row>
        <row r="141">
          <cell r="A141" t="str">
            <v>EGD-0140</v>
          </cell>
          <cell r="B141" t="str">
            <v>GE MEDICAL SYSTEMS</v>
          </cell>
          <cell r="C141" t="str">
            <v>GENESIS_SIGNA</v>
          </cell>
          <cell r="D141">
            <v>1</v>
          </cell>
        </row>
        <row r="142">
          <cell r="A142" t="str">
            <v>EGD-0141</v>
          </cell>
          <cell r="B142" t="str">
            <v>SIEMENS</v>
          </cell>
          <cell r="C142" t="str">
            <v>Avanto</v>
          </cell>
          <cell r="D142">
            <v>1.5</v>
          </cell>
        </row>
        <row r="143">
          <cell r="A143" t="str">
            <v>EGD-0142</v>
          </cell>
          <cell r="B143" t="str">
            <v>GE MEDICAL SYSTEMS</v>
          </cell>
          <cell r="C143" t="str">
            <v>Signa HDxt</v>
          </cell>
          <cell r="D143">
            <v>1.5</v>
          </cell>
        </row>
        <row r="144">
          <cell r="A144" t="str">
            <v>EGD-0143</v>
          </cell>
          <cell r="B144" t="str">
            <v>SIEMENS</v>
          </cell>
          <cell r="C144" t="str">
            <v>Avanto</v>
          </cell>
          <cell r="D144">
            <v>1.5</v>
          </cell>
        </row>
        <row r="145">
          <cell r="A145" t="str">
            <v>EGD-0144</v>
          </cell>
          <cell r="B145" t="str">
            <v>GE MEDICAL SYSTEMS</v>
          </cell>
          <cell r="C145" t="str">
            <v>DISCOVERY MR450</v>
          </cell>
          <cell r="D145">
            <v>1.5</v>
          </cell>
        </row>
        <row r="146">
          <cell r="A146" t="str">
            <v>EGD-0145</v>
          </cell>
          <cell r="B146" t="str">
            <v>Philips Medical Systems</v>
          </cell>
          <cell r="C146" t="str">
            <v>Achieva</v>
          </cell>
          <cell r="D146">
            <v>1.5</v>
          </cell>
        </row>
        <row r="147">
          <cell r="A147" t="str">
            <v>EGD-0146</v>
          </cell>
          <cell r="B147" t="str">
            <v>GE MEDICAL SYSTEMS</v>
          </cell>
          <cell r="C147" t="str">
            <v>DISCOVERY MR750</v>
          </cell>
          <cell r="D147">
            <v>3</v>
          </cell>
        </row>
        <row r="148">
          <cell r="A148" t="str">
            <v>EGD-0147</v>
          </cell>
          <cell r="B148" t="str">
            <v>SIEMENS</v>
          </cell>
          <cell r="C148" t="str">
            <v>Avanto</v>
          </cell>
          <cell r="D148">
            <v>1.5</v>
          </cell>
        </row>
        <row r="149">
          <cell r="A149" t="str">
            <v>EGD-0148</v>
          </cell>
          <cell r="B149" t="str">
            <v>GE MEDICAL SYSTEMS</v>
          </cell>
          <cell r="C149" t="str">
            <v>DISCOVERY MR750</v>
          </cell>
          <cell r="D149">
            <v>3</v>
          </cell>
        </row>
        <row r="150">
          <cell r="A150" t="str">
            <v>EGD-0149</v>
          </cell>
          <cell r="B150" t="str">
            <v>GE MEDICAL SYSTEMS</v>
          </cell>
          <cell r="C150" t="str">
            <v>DISCOVERY MR750</v>
          </cell>
          <cell r="D150">
            <v>3</v>
          </cell>
        </row>
        <row r="151">
          <cell r="A151" t="str">
            <v>EGD-0150</v>
          </cell>
          <cell r="B151" t="str">
            <v>Philips Medical Systems</v>
          </cell>
          <cell r="C151" t="str">
            <v>Intera</v>
          </cell>
          <cell r="D151">
            <v>1</v>
          </cell>
        </row>
        <row r="152">
          <cell r="A152" t="str">
            <v>EGD-0151</v>
          </cell>
          <cell r="B152" t="str">
            <v>SIEMENS</v>
          </cell>
          <cell r="C152" t="str">
            <v>Symphony</v>
          </cell>
          <cell r="D152">
            <v>1.5</v>
          </cell>
        </row>
        <row r="153">
          <cell r="A153" t="str">
            <v>EGD-0152</v>
          </cell>
          <cell r="B153" t="str">
            <v>GE MEDICAL SYSTEMS</v>
          </cell>
          <cell r="C153" t="str">
            <v>DISCOVERY MR750</v>
          </cell>
          <cell r="D153">
            <v>3</v>
          </cell>
        </row>
        <row r="154">
          <cell r="A154" t="str">
            <v>EGD-0153</v>
          </cell>
          <cell r="B154" t="str">
            <v>Philips Medical Systems</v>
          </cell>
          <cell r="C154" t="str">
            <v>Gyroscan NT</v>
          </cell>
          <cell r="D154">
            <v>0.5</v>
          </cell>
        </row>
        <row r="155">
          <cell r="A155" t="str">
            <v>EGD-0154</v>
          </cell>
          <cell r="B155" t="str">
            <v>Philips Medical Systems</v>
          </cell>
          <cell r="C155" t="str">
            <v>Intera</v>
          </cell>
          <cell r="D155">
            <v>1.5</v>
          </cell>
        </row>
        <row r="156">
          <cell r="A156" t="str">
            <v>EGD-0155</v>
          </cell>
          <cell r="B156" t="str">
            <v>GE MEDICAL SYSTEMS</v>
          </cell>
          <cell r="C156" t="str">
            <v>DISCOVERY MR450</v>
          </cell>
          <cell r="D156">
            <v>1.5</v>
          </cell>
        </row>
        <row r="157">
          <cell r="A157" t="str">
            <v>EGD-0156</v>
          </cell>
          <cell r="B157" t="str">
            <v>SIEMENS</v>
          </cell>
          <cell r="C157" t="str">
            <v>Symphony</v>
          </cell>
          <cell r="D157">
            <v>1.5</v>
          </cell>
        </row>
        <row r="158">
          <cell r="A158" t="str">
            <v>EGD-0157</v>
          </cell>
          <cell r="B158" t="str">
            <v>SIEMENS</v>
          </cell>
          <cell r="C158" t="str">
            <v>Espree</v>
          </cell>
          <cell r="D158">
            <v>1.5</v>
          </cell>
        </row>
        <row r="159">
          <cell r="A159" t="str">
            <v>EGD-0158</v>
          </cell>
          <cell r="B159" t="str">
            <v>SIEMENS</v>
          </cell>
          <cell r="C159" t="str">
            <v>Avanto</v>
          </cell>
          <cell r="D159">
            <v>1.5</v>
          </cell>
        </row>
        <row r="160">
          <cell r="A160" t="str">
            <v>EGD-0159</v>
          </cell>
          <cell r="B160" t="str">
            <v>GE MEDICAL SYSTEMS</v>
          </cell>
          <cell r="C160" t="str">
            <v>Optima MR450w</v>
          </cell>
          <cell r="D160">
            <v>1.5</v>
          </cell>
        </row>
        <row r="161">
          <cell r="A161" t="str">
            <v>EGD-0160</v>
          </cell>
          <cell r="B161" t="str">
            <v>SIEMENS</v>
          </cell>
          <cell r="C161" t="str">
            <v>Harmony</v>
          </cell>
          <cell r="D161">
            <v>1</v>
          </cell>
        </row>
        <row r="162">
          <cell r="A162" t="str">
            <v>EGD-0161</v>
          </cell>
          <cell r="B162" t="str">
            <v>Philips Medical Systems</v>
          </cell>
          <cell r="C162" t="str">
            <v>Achieva</v>
          </cell>
          <cell r="D162">
            <v>1.5</v>
          </cell>
        </row>
        <row r="163">
          <cell r="A163" t="str">
            <v>EGD-0162</v>
          </cell>
          <cell r="B163" t="str">
            <v>GE MEDICAL SYSTEMS</v>
          </cell>
          <cell r="C163" t="str">
            <v>DISCOVERY MR450</v>
          </cell>
          <cell r="D163">
            <v>1.5</v>
          </cell>
        </row>
        <row r="164">
          <cell r="A164" t="str">
            <v>EGD-0163</v>
          </cell>
          <cell r="B164" t="str">
            <v>SIEMENS</v>
          </cell>
          <cell r="C164" t="str">
            <v>Avanto</v>
          </cell>
          <cell r="D164">
            <v>1.5</v>
          </cell>
        </row>
        <row r="165">
          <cell r="A165" t="str">
            <v>EGD-0164</v>
          </cell>
          <cell r="B165" t="str">
            <v>GE MEDICAL SYSTEMS</v>
          </cell>
          <cell r="C165" t="str">
            <v>Signa HDxt</v>
          </cell>
          <cell r="D165">
            <v>1.5</v>
          </cell>
        </row>
        <row r="166">
          <cell r="A166" t="str">
            <v>EGD-0165</v>
          </cell>
          <cell r="B166" t="str">
            <v>Philips Medical Systems</v>
          </cell>
          <cell r="C166" t="str">
            <v>Achieva</v>
          </cell>
          <cell r="D166">
            <v>1.5</v>
          </cell>
        </row>
        <row r="167">
          <cell r="A167" t="str">
            <v>EGD-0166</v>
          </cell>
          <cell r="B167" t="str">
            <v>Philips Medical Systems</v>
          </cell>
          <cell r="C167" t="str">
            <v>Achieva</v>
          </cell>
          <cell r="D167">
            <v>1.5</v>
          </cell>
        </row>
        <row r="168">
          <cell r="A168" t="str">
            <v>EGD-0167</v>
          </cell>
          <cell r="B168" t="str">
            <v>GE MEDICAL SYSTEMS</v>
          </cell>
          <cell r="C168" t="str">
            <v>Optima MR450w</v>
          </cell>
          <cell r="D168">
            <v>1.5</v>
          </cell>
        </row>
        <row r="169">
          <cell r="A169" t="str">
            <v>EGD-0168</v>
          </cell>
          <cell r="B169" t="str">
            <v>SIEMENS</v>
          </cell>
          <cell r="C169" t="str">
            <v>Symphony</v>
          </cell>
          <cell r="D169">
            <v>1.5</v>
          </cell>
        </row>
        <row r="170">
          <cell r="A170" t="str">
            <v>EGD-0169</v>
          </cell>
          <cell r="B170" t="str">
            <v>GE MEDICAL SYSTEMS</v>
          </cell>
          <cell r="C170" t="str">
            <v>SIGNA HDx</v>
          </cell>
          <cell r="D170">
            <v>1.5</v>
          </cell>
        </row>
        <row r="171">
          <cell r="A171" t="str">
            <v>EGD-0170</v>
          </cell>
          <cell r="B171" t="str">
            <v>Philips Medical Systems</v>
          </cell>
          <cell r="C171" t="str">
            <v>Intera</v>
          </cell>
          <cell r="D171">
            <v>1</v>
          </cell>
        </row>
        <row r="172">
          <cell r="A172" t="str">
            <v>EGD-0171</v>
          </cell>
          <cell r="B172" t="str">
            <v>Philips Medical Systems</v>
          </cell>
          <cell r="C172" t="str">
            <v>Achieva</v>
          </cell>
          <cell r="D172">
            <v>1.5</v>
          </cell>
        </row>
        <row r="173">
          <cell r="A173" t="str">
            <v>EGD-0172</v>
          </cell>
          <cell r="B173" t="str">
            <v>SIEMENS</v>
          </cell>
          <cell r="C173" t="str">
            <v>Aera</v>
          </cell>
          <cell r="D173">
            <v>1.5</v>
          </cell>
        </row>
        <row r="174">
          <cell r="A174" t="str">
            <v>EGD-0173</v>
          </cell>
          <cell r="B174" t="str">
            <v>SIEMENS</v>
          </cell>
          <cell r="C174" t="str">
            <v>Harmony</v>
          </cell>
          <cell r="D174">
            <v>1</v>
          </cell>
        </row>
        <row r="175">
          <cell r="A175" t="str">
            <v>EGD-0174</v>
          </cell>
          <cell r="B175" t="str">
            <v>GE MEDICAL SYSTEMS</v>
          </cell>
          <cell r="C175" t="str">
            <v>GENESIS_SIGNA</v>
          </cell>
          <cell r="D175">
            <v>1</v>
          </cell>
        </row>
        <row r="176">
          <cell r="A176" t="str">
            <v>EGD-0175</v>
          </cell>
          <cell r="B176" t="str">
            <v>SIEMENS</v>
          </cell>
          <cell r="C176" t="str">
            <v>Avanto</v>
          </cell>
          <cell r="D176">
            <v>1.5</v>
          </cell>
        </row>
        <row r="177">
          <cell r="A177" t="str">
            <v>EGD-0176</v>
          </cell>
          <cell r="B177" t="str">
            <v>SIEMENS</v>
          </cell>
          <cell r="C177" t="str">
            <v>Skyra</v>
          </cell>
          <cell r="D177">
            <v>3</v>
          </cell>
        </row>
        <row r="178">
          <cell r="A178" t="str">
            <v>EGD-0177</v>
          </cell>
          <cell r="B178" t="str">
            <v>Philips Medical Systems</v>
          </cell>
          <cell r="C178" t="str">
            <v>Achieva</v>
          </cell>
          <cell r="D178">
            <v>1.5</v>
          </cell>
        </row>
        <row r="179">
          <cell r="A179" t="str">
            <v>EGD-0178</v>
          </cell>
          <cell r="B179" t="str">
            <v>SIEMENS</v>
          </cell>
          <cell r="C179" t="str">
            <v>Avanto</v>
          </cell>
          <cell r="D179">
            <v>1.5</v>
          </cell>
        </row>
        <row r="180">
          <cell r="A180" t="str">
            <v>EGD-0179</v>
          </cell>
          <cell r="B180" t="str">
            <v>SIEMENS</v>
          </cell>
          <cell r="C180" t="str">
            <v>Harmony</v>
          </cell>
          <cell r="D180">
            <v>1</v>
          </cell>
        </row>
        <row r="181">
          <cell r="A181" t="str">
            <v>EGD-0180</v>
          </cell>
          <cell r="B181" t="str">
            <v>SIEMENS</v>
          </cell>
          <cell r="C181" t="str">
            <v>MAGNETOM VISION</v>
          </cell>
          <cell r="D181">
            <v>1.5</v>
          </cell>
        </row>
        <row r="182">
          <cell r="A182" t="str">
            <v>EGD-0181</v>
          </cell>
          <cell r="B182" t="str">
            <v>Philips Medical Systems</v>
          </cell>
          <cell r="C182" t="str">
            <v>Achieva</v>
          </cell>
          <cell r="D182">
            <v>1.5</v>
          </cell>
        </row>
        <row r="183">
          <cell r="A183" t="str">
            <v>EGD-0182</v>
          </cell>
          <cell r="B183" t="str">
            <v>GE MEDICAL SYSTEMS</v>
          </cell>
          <cell r="C183" t="str">
            <v>DISCOVERY MR750</v>
          </cell>
          <cell r="D183">
            <v>3</v>
          </cell>
        </row>
        <row r="184">
          <cell r="A184" t="str">
            <v>EGD-0183</v>
          </cell>
          <cell r="B184" t="str">
            <v>SIEMENS</v>
          </cell>
          <cell r="C184" t="str">
            <v>Skyra</v>
          </cell>
          <cell r="D184">
            <v>3</v>
          </cell>
        </row>
        <row r="185">
          <cell r="A185" t="str">
            <v>EGD-0184</v>
          </cell>
          <cell r="B185" t="str">
            <v>Philips Medical Systems</v>
          </cell>
          <cell r="C185" t="str">
            <v>Achieva</v>
          </cell>
          <cell r="D185">
            <v>1.5</v>
          </cell>
        </row>
        <row r="186">
          <cell r="A186" t="str">
            <v>EGD-0185</v>
          </cell>
          <cell r="B186" t="str">
            <v>SIEMENS</v>
          </cell>
          <cell r="C186" t="str">
            <v>Avanto</v>
          </cell>
          <cell r="D186">
            <v>1.5</v>
          </cell>
        </row>
        <row r="187">
          <cell r="A187" t="str">
            <v>EGD-0186</v>
          </cell>
          <cell r="B187" t="str">
            <v>Philips Medical Systems</v>
          </cell>
          <cell r="C187" t="str">
            <v>Achieva dStream</v>
          </cell>
          <cell r="D187">
            <v>1.5</v>
          </cell>
        </row>
        <row r="188">
          <cell r="A188" t="str">
            <v>EGD-0187</v>
          </cell>
          <cell r="B188" t="str">
            <v>GE MEDICAL SYSTEMS</v>
          </cell>
          <cell r="C188" t="str">
            <v>DISCOVERY MR450</v>
          </cell>
          <cell r="D188">
            <v>1.5</v>
          </cell>
        </row>
        <row r="189">
          <cell r="A189" t="str">
            <v>EGD-0188</v>
          </cell>
          <cell r="B189" t="str">
            <v>SIEMENS</v>
          </cell>
          <cell r="C189" t="str">
            <v>Aera</v>
          </cell>
          <cell r="D189">
            <v>1.5</v>
          </cell>
        </row>
        <row r="190">
          <cell r="A190" t="str">
            <v>EGD-0189</v>
          </cell>
          <cell r="B190" t="str">
            <v>Philips Medical Systems</v>
          </cell>
          <cell r="C190" t="str">
            <v>Achieva dStream</v>
          </cell>
          <cell r="D190">
            <v>1.5</v>
          </cell>
        </row>
        <row r="191">
          <cell r="A191" t="str">
            <v>EGD-0190</v>
          </cell>
          <cell r="B191" t="str">
            <v>Philips Medical Systems</v>
          </cell>
          <cell r="C191" t="str">
            <v>Intera</v>
          </cell>
          <cell r="D191">
            <v>1.5</v>
          </cell>
        </row>
        <row r="192">
          <cell r="A192" t="str">
            <v>EGD-0191</v>
          </cell>
          <cell r="B192" t="str">
            <v>SIEMENS</v>
          </cell>
          <cell r="C192" t="str">
            <v>Harmony</v>
          </cell>
          <cell r="D192">
            <v>1</v>
          </cell>
        </row>
        <row r="193">
          <cell r="A193" t="str">
            <v>EGD-0192</v>
          </cell>
          <cell r="B193" t="str">
            <v>GE MEDICAL SYSTEMS</v>
          </cell>
          <cell r="C193" t="str">
            <v>DISCOVERY MR450</v>
          </cell>
          <cell r="D193">
            <v>1.5</v>
          </cell>
        </row>
        <row r="194">
          <cell r="A194" t="str">
            <v>EGD-0193</v>
          </cell>
          <cell r="B194" t="str">
            <v>Philips Healthcare</v>
          </cell>
          <cell r="C194" t="str">
            <v>Ingenia</v>
          </cell>
          <cell r="D194">
            <v>1.5</v>
          </cell>
        </row>
        <row r="195">
          <cell r="A195" t="str">
            <v>EGD-0194</v>
          </cell>
          <cell r="B195" t="str">
            <v>SIEMENS</v>
          </cell>
          <cell r="C195" t="str">
            <v>Symphony</v>
          </cell>
          <cell r="D195">
            <v>1.5</v>
          </cell>
        </row>
        <row r="196">
          <cell r="A196" t="str">
            <v>EGD-0195</v>
          </cell>
          <cell r="B196" t="str">
            <v>SIEMENS</v>
          </cell>
          <cell r="C196" t="str">
            <v>Avanto</v>
          </cell>
          <cell r="D196">
            <v>1.5</v>
          </cell>
        </row>
        <row r="197">
          <cell r="A197" t="str">
            <v>EGD-0196</v>
          </cell>
          <cell r="B197" t="str">
            <v>SIEMENS</v>
          </cell>
          <cell r="C197" t="str">
            <v>Aera</v>
          </cell>
          <cell r="D197">
            <v>1.5</v>
          </cell>
        </row>
        <row r="198">
          <cell r="A198" t="str">
            <v>EGD-0197</v>
          </cell>
          <cell r="B198" t="str">
            <v>SIEMENS</v>
          </cell>
          <cell r="C198" t="str">
            <v>Aera</v>
          </cell>
          <cell r="D198">
            <v>1.5</v>
          </cell>
        </row>
        <row r="199">
          <cell r="A199" t="str">
            <v>EGD-0198</v>
          </cell>
          <cell r="B199" t="str">
            <v>GE MEDICAL SYSTEMS</v>
          </cell>
          <cell r="C199" t="str">
            <v>DISCOVERY MR750</v>
          </cell>
          <cell r="D199">
            <v>3</v>
          </cell>
        </row>
        <row r="200">
          <cell r="A200" t="str">
            <v>EGD-0199</v>
          </cell>
          <cell r="B200" t="str">
            <v>GE MEDICAL SYSTEMS</v>
          </cell>
          <cell r="C200" t="str">
            <v>DISCOVERY MR750</v>
          </cell>
          <cell r="D200">
            <v>3</v>
          </cell>
        </row>
        <row r="201">
          <cell r="A201" t="str">
            <v>EGD-0200</v>
          </cell>
          <cell r="B201" t="str">
            <v>SIEMENS</v>
          </cell>
          <cell r="C201" t="str">
            <v>Avanto</v>
          </cell>
          <cell r="D201">
            <v>1.5</v>
          </cell>
        </row>
        <row r="202">
          <cell r="A202" t="str">
            <v>EGD-0201</v>
          </cell>
          <cell r="B202" t="str">
            <v>SIEMENS</v>
          </cell>
          <cell r="C202" t="str">
            <v>Aera</v>
          </cell>
          <cell r="D202">
            <v>1.5</v>
          </cell>
        </row>
        <row r="203">
          <cell r="A203" t="str">
            <v>EGD-0202</v>
          </cell>
          <cell r="B203" t="str">
            <v>SIEMENS</v>
          </cell>
          <cell r="C203" t="str">
            <v>Avanto</v>
          </cell>
          <cell r="D203">
            <v>1.5</v>
          </cell>
        </row>
        <row r="204">
          <cell r="A204" t="str">
            <v>EGD-0203</v>
          </cell>
          <cell r="B204" t="str">
            <v>SIEMENS</v>
          </cell>
          <cell r="C204" t="str">
            <v>Harmony</v>
          </cell>
          <cell r="D204">
            <v>1</v>
          </cell>
        </row>
        <row r="205">
          <cell r="A205" t="str">
            <v>EGD-0204</v>
          </cell>
          <cell r="B205" t="str">
            <v>Philips Healthcare</v>
          </cell>
          <cell r="C205" t="str">
            <v>Ingenia</v>
          </cell>
          <cell r="D205">
            <v>3</v>
          </cell>
        </row>
        <row r="206">
          <cell r="A206" t="str">
            <v>EGD-0205</v>
          </cell>
          <cell r="B206" t="str">
            <v>SIEMENS</v>
          </cell>
          <cell r="C206" t="str">
            <v>Symphony</v>
          </cell>
          <cell r="D206">
            <v>1.5</v>
          </cell>
        </row>
        <row r="207">
          <cell r="A207" t="str">
            <v>EGD-0206</v>
          </cell>
          <cell r="B207" t="str">
            <v>GE MEDICAL SYSTEMS</v>
          </cell>
          <cell r="C207" t="str">
            <v>DISCOVERY MR450</v>
          </cell>
          <cell r="D207">
            <v>1.5</v>
          </cell>
        </row>
        <row r="208">
          <cell r="A208" t="str">
            <v>EGD-0207</v>
          </cell>
          <cell r="B208" t="str">
            <v>Philips Medical Systems</v>
          </cell>
          <cell r="C208" t="str">
            <v>Intera</v>
          </cell>
          <cell r="D208">
            <v>1.5</v>
          </cell>
        </row>
        <row r="209">
          <cell r="A209" t="str">
            <v>EGD-0208</v>
          </cell>
          <cell r="B209" t="str">
            <v>SIEMENS</v>
          </cell>
          <cell r="C209" t="str">
            <v>Symphony</v>
          </cell>
          <cell r="D209">
            <v>1.5</v>
          </cell>
        </row>
        <row r="210">
          <cell r="A210" t="str">
            <v>EGD-0209</v>
          </cell>
          <cell r="B210" t="str">
            <v>Philips Medical Systems</v>
          </cell>
          <cell r="C210" t="str">
            <v>Intera</v>
          </cell>
          <cell r="D210">
            <v>1.5</v>
          </cell>
        </row>
        <row r="211">
          <cell r="A211" t="str">
            <v>EGD-0210</v>
          </cell>
          <cell r="B211" t="str">
            <v>GE MEDICAL SYSTEMS</v>
          </cell>
          <cell r="C211" t="str">
            <v>GENESIS_SIGNA</v>
          </cell>
          <cell r="D211">
            <v>1</v>
          </cell>
        </row>
        <row r="212">
          <cell r="A212" t="str">
            <v>EGD-0211</v>
          </cell>
          <cell r="B212" t="str">
            <v>GE MEDICAL SYSTEMS</v>
          </cell>
          <cell r="C212" t="str">
            <v>Signa HDxt</v>
          </cell>
          <cell r="D212">
            <v>1.5</v>
          </cell>
        </row>
        <row r="213">
          <cell r="A213" t="str">
            <v>EGD-0212</v>
          </cell>
          <cell r="B213" t="str">
            <v>SIEMENS</v>
          </cell>
          <cell r="C213" t="str">
            <v>Avanto</v>
          </cell>
          <cell r="D213">
            <v>1.5</v>
          </cell>
        </row>
        <row r="214">
          <cell r="A214" t="str">
            <v>EGD-0213</v>
          </cell>
          <cell r="B214" t="str">
            <v>GE MEDICAL SYSTEMS</v>
          </cell>
          <cell r="C214" t="str">
            <v>DISCOVERY MR750</v>
          </cell>
          <cell r="D214">
            <v>3</v>
          </cell>
        </row>
        <row r="215">
          <cell r="A215" t="str">
            <v>EGD-0214</v>
          </cell>
          <cell r="B215" t="str">
            <v>SIEMENS</v>
          </cell>
          <cell r="C215" t="str">
            <v>Symphony</v>
          </cell>
          <cell r="D215">
            <v>1.5</v>
          </cell>
        </row>
        <row r="216">
          <cell r="A216" t="str">
            <v>EGD-0215</v>
          </cell>
          <cell r="B216" t="str">
            <v>SIEMENS</v>
          </cell>
          <cell r="C216" t="str">
            <v>Avanto</v>
          </cell>
          <cell r="D216">
            <v>1.5</v>
          </cell>
        </row>
        <row r="217">
          <cell r="A217" t="str">
            <v>EGD-0216</v>
          </cell>
          <cell r="B217" t="str">
            <v>SIEMENS</v>
          </cell>
          <cell r="C217" t="str">
            <v>Skyra</v>
          </cell>
          <cell r="D217">
            <v>3</v>
          </cell>
        </row>
        <row r="218">
          <cell r="A218" t="str">
            <v>EGD-0217</v>
          </cell>
          <cell r="B218" t="str">
            <v>Philips Medical Systems</v>
          </cell>
          <cell r="C218" t="str">
            <v>Intera</v>
          </cell>
          <cell r="D218">
            <v>1.5</v>
          </cell>
        </row>
        <row r="219">
          <cell r="A219" t="str">
            <v>EGD-0218</v>
          </cell>
          <cell r="B219" t="str">
            <v>SIEMENS</v>
          </cell>
          <cell r="C219" t="str">
            <v>Skyra</v>
          </cell>
          <cell r="D219">
            <v>3</v>
          </cell>
        </row>
        <row r="220">
          <cell r="A220" t="str">
            <v>EGD-0219</v>
          </cell>
          <cell r="B220" t="str">
            <v>SIEMENS</v>
          </cell>
          <cell r="C220" t="str">
            <v>Aera</v>
          </cell>
          <cell r="D220">
            <v>1.5</v>
          </cell>
        </row>
        <row r="221">
          <cell r="A221" t="str">
            <v>EGD-0220</v>
          </cell>
          <cell r="B221" t="str">
            <v>Philips Medical Systems</v>
          </cell>
          <cell r="C221" t="str">
            <v>Intera</v>
          </cell>
          <cell r="D221">
            <v>1.5</v>
          </cell>
        </row>
        <row r="222">
          <cell r="A222" t="str">
            <v>EGD-0221</v>
          </cell>
          <cell r="B222" t="str">
            <v>SIEMENS</v>
          </cell>
          <cell r="C222" t="str">
            <v>MAGNETOM EXPERT</v>
          </cell>
          <cell r="D222">
            <v>1</v>
          </cell>
        </row>
        <row r="223">
          <cell r="A223" t="str">
            <v>EGD-0222</v>
          </cell>
          <cell r="B223" t="str">
            <v>Philips Medical Systems</v>
          </cell>
          <cell r="C223" t="str">
            <v>Achieva</v>
          </cell>
          <cell r="D223">
            <v>1.5</v>
          </cell>
        </row>
        <row r="224">
          <cell r="A224" t="str">
            <v>EGD-0223</v>
          </cell>
          <cell r="B224" t="str">
            <v>Philips Medical Systems</v>
          </cell>
          <cell r="C224" t="str">
            <v>Achieva dStream</v>
          </cell>
          <cell r="D224">
            <v>1.5</v>
          </cell>
        </row>
        <row r="225">
          <cell r="A225" t="str">
            <v>EGD-0224</v>
          </cell>
          <cell r="B225" t="str">
            <v>Philips Medical Systems</v>
          </cell>
          <cell r="C225" t="str">
            <v>Achieva</v>
          </cell>
          <cell r="D225">
            <v>1.5</v>
          </cell>
        </row>
        <row r="226">
          <cell r="A226" t="str">
            <v>EGD-0225</v>
          </cell>
          <cell r="B226" t="str">
            <v>SIEMENS</v>
          </cell>
          <cell r="C226" t="str">
            <v>Harmony</v>
          </cell>
          <cell r="D226">
            <v>1</v>
          </cell>
        </row>
        <row r="227">
          <cell r="A227" t="str">
            <v>EGD-0226</v>
          </cell>
          <cell r="B227" t="str">
            <v>Philips Medical Systems</v>
          </cell>
          <cell r="C227" t="str">
            <v>Ingenia</v>
          </cell>
          <cell r="D227">
            <v>1.5</v>
          </cell>
        </row>
        <row r="228">
          <cell r="A228" t="str">
            <v>EGD-0227</v>
          </cell>
          <cell r="B228" t="str">
            <v>SIEMENS</v>
          </cell>
          <cell r="C228" t="str">
            <v>Symphony</v>
          </cell>
          <cell r="D228">
            <v>1.5</v>
          </cell>
        </row>
        <row r="229">
          <cell r="A229" t="str">
            <v>EGD-0228</v>
          </cell>
          <cell r="B229" t="str">
            <v>GE MEDICAL SYSTEMS</v>
          </cell>
          <cell r="C229" t="str">
            <v>DISCOVERY MR750</v>
          </cell>
          <cell r="D229">
            <v>3</v>
          </cell>
        </row>
        <row r="230">
          <cell r="A230" t="str">
            <v>EGD-0229</v>
          </cell>
          <cell r="B230" t="str">
            <v>GE MEDICAL SYSTEMS</v>
          </cell>
          <cell r="C230" t="str">
            <v>Signa HDxt</v>
          </cell>
          <cell r="D230">
            <v>1.5</v>
          </cell>
        </row>
        <row r="231">
          <cell r="A231" t="str">
            <v>EGD-0230</v>
          </cell>
          <cell r="B231" t="str">
            <v>SIEMENS</v>
          </cell>
          <cell r="C231" t="str">
            <v>Symphony</v>
          </cell>
          <cell r="D231">
            <v>1.5</v>
          </cell>
        </row>
        <row r="232">
          <cell r="A232" t="str">
            <v>EGD-0231</v>
          </cell>
          <cell r="B232" t="str">
            <v>Philips Medical Systems</v>
          </cell>
          <cell r="C232" t="str">
            <v>Intera</v>
          </cell>
          <cell r="D232">
            <v>1.5</v>
          </cell>
        </row>
        <row r="233">
          <cell r="A233" t="str">
            <v>EGD-0232</v>
          </cell>
          <cell r="B233" t="str">
            <v>Philips Medical Systems</v>
          </cell>
          <cell r="C233" t="str">
            <v>Ingenia</v>
          </cell>
          <cell r="D233">
            <v>1.5</v>
          </cell>
        </row>
        <row r="234">
          <cell r="A234" t="str">
            <v>EGD-0233</v>
          </cell>
          <cell r="B234" t="str">
            <v>GE MEDICAL SYSTEMS</v>
          </cell>
          <cell r="C234" t="str">
            <v>Signa HDxt</v>
          </cell>
          <cell r="D234">
            <v>1.5</v>
          </cell>
        </row>
        <row r="235">
          <cell r="A235" t="str">
            <v>EGD-0234</v>
          </cell>
          <cell r="B235" t="str">
            <v>SIEMENS</v>
          </cell>
          <cell r="C235" t="str">
            <v>Symphony</v>
          </cell>
          <cell r="D235">
            <v>1.5</v>
          </cell>
        </row>
        <row r="236">
          <cell r="A236" t="str">
            <v>EGD-0235</v>
          </cell>
          <cell r="B236" t="str">
            <v>Philips Medical Systems</v>
          </cell>
          <cell r="C236" t="str">
            <v>Achieva</v>
          </cell>
          <cell r="D236">
            <v>3</v>
          </cell>
        </row>
        <row r="237">
          <cell r="A237" t="str">
            <v>EGD-0236</v>
          </cell>
          <cell r="B237" t="str">
            <v>Philips Medical Systems</v>
          </cell>
          <cell r="C237" t="str">
            <v>NT Intera</v>
          </cell>
          <cell r="D237">
            <v>1.5</v>
          </cell>
        </row>
        <row r="238">
          <cell r="A238" t="str">
            <v>EGD-0237</v>
          </cell>
          <cell r="B238" t="str">
            <v>SIEMENS</v>
          </cell>
          <cell r="C238" t="str">
            <v>Aera</v>
          </cell>
          <cell r="D238">
            <v>1.5</v>
          </cell>
        </row>
        <row r="239">
          <cell r="A239" t="str">
            <v>EGD-0238</v>
          </cell>
          <cell r="B239" t="str">
            <v>Philips Medical Systems</v>
          </cell>
          <cell r="C239" t="str">
            <v>Achieva</v>
          </cell>
          <cell r="D239">
            <v>1.5</v>
          </cell>
        </row>
        <row r="240">
          <cell r="A240" t="str">
            <v>EGD-0239</v>
          </cell>
          <cell r="B240" t="str">
            <v>Philips Medical Systems</v>
          </cell>
          <cell r="C240" t="str">
            <v>Achieva</v>
          </cell>
          <cell r="D240">
            <v>1.5</v>
          </cell>
        </row>
        <row r="241">
          <cell r="A241" t="str">
            <v>EGD-0240</v>
          </cell>
          <cell r="B241" t="str">
            <v>GE MEDICAL SYSTEMS</v>
          </cell>
          <cell r="C241" t="str">
            <v>DISCOVERY MR450</v>
          </cell>
          <cell r="D241">
            <v>1.5</v>
          </cell>
        </row>
        <row r="242">
          <cell r="A242" t="str">
            <v>EGD-0241</v>
          </cell>
          <cell r="B242" t="str">
            <v>Philips Medical Systems</v>
          </cell>
          <cell r="C242" t="str">
            <v>Intera</v>
          </cell>
          <cell r="D242">
            <v>1.5</v>
          </cell>
        </row>
        <row r="243">
          <cell r="A243" t="str">
            <v>EGD-0242</v>
          </cell>
          <cell r="B243" t="str">
            <v>SIEMENS</v>
          </cell>
          <cell r="C243" t="str">
            <v>Harmony</v>
          </cell>
          <cell r="D243">
            <v>1</v>
          </cell>
        </row>
        <row r="244">
          <cell r="A244" t="str">
            <v>EGD-0243</v>
          </cell>
          <cell r="B244" t="str">
            <v>SIEMENS</v>
          </cell>
          <cell r="C244" t="str">
            <v>Avanto</v>
          </cell>
          <cell r="D244">
            <v>1.5</v>
          </cell>
        </row>
        <row r="245">
          <cell r="A245" t="str">
            <v>EGD-0244</v>
          </cell>
          <cell r="B245" t="str">
            <v>SIEMENS</v>
          </cell>
          <cell r="C245" t="str">
            <v>Aera</v>
          </cell>
          <cell r="D245">
            <v>1.5</v>
          </cell>
        </row>
        <row r="246">
          <cell r="A246" t="str">
            <v>EGD-0245</v>
          </cell>
          <cell r="B246" t="str">
            <v>SIEMENS</v>
          </cell>
          <cell r="C246" t="str">
            <v>Harmony</v>
          </cell>
          <cell r="D246">
            <v>1</v>
          </cell>
        </row>
        <row r="247">
          <cell r="A247" t="str">
            <v>EGD-0246</v>
          </cell>
          <cell r="B247" t="str">
            <v>SIEMENS</v>
          </cell>
          <cell r="C247" t="str">
            <v>Avanto</v>
          </cell>
          <cell r="D247">
            <v>1.5</v>
          </cell>
        </row>
        <row r="248">
          <cell r="A248" t="str">
            <v>EGD-0247</v>
          </cell>
          <cell r="B248" t="str">
            <v>Philips Healthcare</v>
          </cell>
          <cell r="C248" t="str">
            <v>Ingenia</v>
          </cell>
          <cell r="D248">
            <v>3</v>
          </cell>
        </row>
        <row r="249">
          <cell r="A249" t="str">
            <v>EGD-0248</v>
          </cell>
          <cell r="B249" t="str">
            <v>Philips Medical Systems</v>
          </cell>
          <cell r="C249" t="str">
            <v>Intera</v>
          </cell>
          <cell r="D249">
            <v>1.5</v>
          </cell>
        </row>
        <row r="250">
          <cell r="A250" t="str">
            <v>EGD-0249</v>
          </cell>
          <cell r="B250" t="str">
            <v>Philips Medical Systems</v>
          </cell>
          <cell r="C250" t="str">
            <v>Achieva dStream</v>
          </cell>
          <cell r="D250">
            <v>1.5</v>
          </cell>
        </row>
        <row r="251">
          <cell r="A251" t="str">
            <v>EGD-0250</v>
          </cell>
          <cell r="B251" t="str">
            <v>Philips Medical Systems</v>
          </cell>
          <cell r="C251" t="str">
            <v>Achieva</v>
          </cell>
          <cell r="D251">
            <v>1.5</v>
          </cell>
        </row>
        <row r="252">
          <cell r="A252" t="str">
            <v>EGD-0251</v>
          </cell>
          <cell r="B252" t="str">
            <v>Philips Medical Systems</v>
          </cell>
          <cell r="C252" t="str">
            <v>Intera</v>
          </cell>
          <cell r="D252">
            <v>1.5</v>
          </cell>
        </row>
        <row r="253">
          <cell r="A253" t="str">
            <v>EGD-0252</v>
          </cell>
          <cell r="B253" t="str">
            <v>SIEMENS</v>
          </cell>
          <cell r="C253" t="str">
            <v>SonataVision</v>
          </cell>
          <cell r="D253">
            <v>1.5</v>
          </cell>
        </row>
        <row r="254">
          <cell r="A254" t="str">
            <v>EGD-0253</v>
          </cell>
          <cell r="B254" t="str">
            <v>Philips Medical Systems</v>
          </cell>
          <cell r="C254" t="str">
            <v>Intera</v>
          </cell>
          <cell r="D254">
            <v>1.5</v>
          </cell>
        </row>
        <row r="255">
          <cell r="A255" t="str">
            <v>EGD-0254</v>
          </cell>
          <cell r="B255" t="str">
            <v>Philips Medical Systems</v>
          </cell>
          <cell r="C255" t="str">
            <v>Ingenia</v>
          </cell>
          <cell r="D255">
            <v>3</v>
          </cell>
        </row>
        <row r="256">
          <cell r="A256" t="str">
            <v>EGD-0255</v>
          </cell>
          <cell r="B256" t="str">
            <v>Philips Medical Systems</v>
          </cell>
          <cell r="C256" t="str">
            <v>Achieva dStream</v>
          </cell>
          <cell r="D256">
            <v>1.5</v>
          </cell>
        </row>
        <row r="257">
          <cell r="A257" t="str">
            <v>EGD-0256</v>
          </cell>
          <cell r="B257" t="str">
            <v>SIEMENS</v>
          </cell>
          <cell r="C257" t="str">
            <v>Harmony</v>
          </cell>
          <cell r="D257">
            <v>1</v>
          </cell>
        </row>
        <row r="258">
          <cell r="A258" t="str">
            <v>EGD-0257</v>
          </cell>
          <cell r="B258" t="str">
            <v>SIEMENS</v>
          </cell>
          <cell r="C258" t="str">
            <v>Avanto</v>
          </cell>
          <cell r="D258">
            <v>1.5</v>
          </cell>
        </row>
        <row r="259">
          <cell r="A259" t="str">
            <v>EGD-0258</v>
          </cell>
          <cell r="B259" t="str">
            <v>GE MEDICAL SYSTEMS</v>
          </cell>
          <cell r="C259" t="str">
            <v>DISCOVERY MR750</v>
          </cell>
          <cell r="D259">
            <v>3</v>
          </cell>
        </row>
        <row r="260">
          <cell r="A260" t="str">
            <v>EGD-0259</v>
          </cell>
          <cell r="B260" t="str">
            <v>SIEMENS</v>
          </cell>
          <cell r="C260" t="str">
            <v>Harmony</v>
          </cell>
          <cell r="D260">
            <v>1</v>
          </cell>
        </row>
        <row r="261">
          <cell r="A261" t="str">
            <v>EGD-0260</v>
          </cell>
          <cell r="B261" t="str">
            <v>Philips Medical Systems</v>
          </cell>
          <cell r="C261" t="str">
            <v>Intera</v>
          </cell>
          <cell r="D261">
            <v>1.5</v>
          </cell>
        </row>
        <row r="262">
          <cell r="A262" t="str">
            <v>EGD-0261</v>
          </cell>
          <cell r="B262" t="str">
            <v>SIEMENS</v>
          </cell>
          <cell r="C262" t="str">
            <v>Symphony</v>
          </cell>
          <cell r="D262">
            <v>1.5</v>
          </cell>
        </row>
        <row r="263">
          <cell r="A263" t="str">
            <v>EGD-0262</v>
          </cell>
          <cell r="B263" t="str">
            <v>Philips Medical Systems</v>
          </cell>
          <cell r="C263" t="str">
            <v>Ingenia</v>
          </cell>
          <cell r="D263">
            <v>-1</v>
          </cell>
        </row>
        <row r="264">
          <cell r="A264" t="str">
            <v>EGD-0263</v>
          </cell>
          <cell r="B264" t="str">
            <v>GE MEDICAL SYSTEMS</v>
          </cell>
          <cell r="C264" t="str">
            <v>DISCOVERY MR450</v>
          </cell>
          <cell r="D264">
            <v>1.5</v>
          </cell>
        </row>
        <row r="265">
          <cell r="A265" t="str">
            <v>EGD-0264</v>
          </cell>
          <cell r="B265" t="str">
            <v>SIEMENS</v>
          </cell>
          <cell r="C265" t="str">
            <v>Aera</v>
          </cell>
          <cell r="D265">
            <v>1.5</v>
          </cell>
        </row>
        <row r="266">
          <cell r="A266" t="str">
            <v>EGD-0265</v>
          </cell>
          <cell r="B266" t="str">
            <v>Philips Medical Systems</v>
          </cell>
          <cell r="C266" t="str">
            <v>Achieva</v>
          </cell>
          <cell r="D266">
            <v>1.5</v>
          </cell>
        </row>
        <row r="267">
          <cell r="A267" t="str">
            <v>EGD-0266</v>
          </cell>
          <cell r="B267" t="str">
            <v>SIEMENS</v>
          </cell>
          <cell r="C267" t="str">
            <v>MAGNETOM_ESSENZA</v>
          </cell>
          <cell r="D267">
            <v>1.5</v>
          </cell>
        </row>
        <row r="268">
          <cell r="A268" t="str">
            <v>EGD-0267</v>
          </cell>
          <cell r="B268" t="str">
            <v>SIEMENS</v>
          </cell>
          <cell r="C268" t="str">
            <v>Harmony</v>
          </cell>
          <cell r="D268">
            <v>1</v>
          </cell>
        </row>
        <row r="269">
          <cell r="A269" t="str">
            <v>EGD-0268</v>
          </cell>
          <cell r="B269" t="str">
            <v>Philips Medical Systems</v>
          </cell>
          <cell r="C269" t="str">
            <v>Achieva</v>
          </cell>
          <cell r="D269">
            <v>1.5</v>
          </cell>
        </row>
        <row r="270">
          <cell r="A270" t="str">
            <v>EGD-0269</v>
          </cell>
          <cell r="B270" t="str">
            <v>GE MEDICAL SYSTEMS</v>
          </cell>
          <cell r="C270" t="str">
            <v>DISCOVERY MR750</v>
          </cell>
          <cell r="D270">
            <v>3</v>
          </cell>
        </row>
        <row r="271">
          <cell r="A271" t="str">
            <v>EGD-0270</v>
          </cell>
          <cell r="B271" t="str">
            <v>SIEMENS</v>
          </cell>
          <cell r="C271" t="str">
            <v>Verio</v>
          </cell>
          <cell r="D271">
            <v>3</v>
          </cell>
        </row>
        <row r="272">
          <cell r="A272" t="str">
            <v>EGD-0271</v>
          </cell>
          <cell r="B272" t="str">
            <v>SIEMENS</v>
          </cell>
          <cell r="C272" t="str">
            <v>Symphony</v>
          </cell>
          <cell r="D272">
            <v>1.5</v>
          </cell>
        </row>
        <row r="273">
          <cell r="A273" t="str">
            <v>EGD-0272</v>
          </cell>
          <cell r="B273" t="str">
            <v>SIEMENS</v>
          </cell>
          <cell r="C273" t="str">
            <v>Avanto</v>
          </cell>
          <cell r="D273">
            <v>1.5</v>
          </cell>
        </row>
        <row r="274">
          <cell r="A274" t="str">
            <v>EGD-0273</v>
          </cell>
          <cell r="B274" t="str">
            <v>Philips Medical Systems</v>
          </cell>
          <cell r="C274" t="str">
            <v>Achieva</v>
          </cell>
          <cell r="D274">
            <v>1.5</v>
          </cell>
        </row>
        <row r="275">
          <cell r="A275" t="str">
            <v>EGD-0274</v>
          </cell>
          <cell r="B275" t="str">
            <v>SIEMENS</v>
          </cell>
          <cell r="C275" t="str">
            <v>Harmony</v>
          </cell>
          <cell r="D275">
            <v>1</v>
          </cell>
        </row>
        <row r="276">
          <cell r="A276" t="str">
            <v>EGD-0275</v>
          </cell>
          <cell r="B276" t="str">
            <v>GE MEDICAL SYSTEMS</v>
          </cell>
          <cell r="C276" t="str">
            <v>Optima MR450w</v>
          </cell>
          <cell r="D276">
            <v>1.5</v>
          </cell>
        </row>
        <row r="277">
          <cell r="A277" t="str">
            <v>EGD-0276</v>
          </cell>
          <cell r="B277" t="str">
            <v>SIEMENS</v>
          </cell>
          <cell r="C277" t="str">
            <v>Avanto</v>
          </cell>
          <cell r="D277">
            <v>1.5</v>
          </cell>
        </row>
        <row r="278">
          <cell r="A278" t="str">
            <v>EGD-0277</v>
          </cell>
          <cell r="B278" t="str">
            <v>SIEMENS</v>
          </cell>
          <cell r="C278" t="str">
            <v>Avanto</v>
          </cell>
          <cell r="D278">
            <v>1.5</v>
          </cell>
        </row>
        <row r="279">
          <cell r="A279" t="str">
            <v>EGD-0278</v>
          </cell>
          <cell r="B279" t="str">
            <v>SIEMENS</v>
          </cell>
          <cell r="C279" t="str">
            <v>Aera</v>
          </cell>
          <cell r="D279">
            <v>1.5</v>
          </cell>
        </row>
        <row r="280">
          <cell r="A280" t="str">
            <v>EGD-0279</v>
          </cell>
          <cell r="B280" t="str">
            <v>GE MEDICAL SYSTEMS</v>
          </cell>
          <cell r="C280" t="str">
            <v>DISCOVERY MR450</v>
          </cell>
          <cell r="D280">
            <v>1.5</v>
          </cell>
        </row>
        <row r="281">
          <cell r="A281" t="str">
            <v>EGD-0280</v>
          </cell>
          <cell r="B281" t="str">
            <v>GE MEDICAL SYSTEMS</v>
          </cell>
          <cell r="C281" t="str">
            <v>DISCOVERY MR450</v>
          </cell>
          <cell r="D281">
            <v>1.5</v>
          </cell>
        </row>
        <row r="282">
          <cell r="A282" t="str">
            <v>EGD-0281</v>
          </cell>
          <cell r="B282" t="str">
            <v>GE MEDICAL SYSTEMS</v>
          </cell>
          <cell r="C282" t="str">
            <v>DISCOVERY MR450</v>
          </cell>
          <cell r="D282">
            <v>1.5</v>
          </cell>
        </row>
        <row r="283">
          <cell r="A283" t="str">
            <v>EGD-0282</v>
          </cell>
          <cell r="B283" t="str">
            <v>SIEMENS</v>
          </cell>
          <cell r="C283" t="str">
            <v>Avanto</v>
          </cell>
          <cell r="D283">
            <v>1.5</v>
          </cell>
        </row>
        <row r="284">
          <cell r="A284" t="str">
            <v>EGD-0283</v>
          </cell>
          <cell r="B284" t="str">
            <v>SIEMENS</v>
          </cell>
          <cell r="C284" t="str">
            <v>Harmony</v>
          </cell>
          <cell r="D284">
            <v>1</v>
          </cell>
        </row>
        <row r="285">
          <cell r="A285" t="str">
            <v>EGD-0284</v>
          </cell>
          <cell r="B285" t="str">
            <v>Philips Medical Systems</v>
          </cell>
          <cell r="C285" t="str">
            <v>NT Intera</v>
          </cell>
          <cell r="D285">
            <v>1.5</v>
          </cell>
        </row>
        <row r="286">
          <cell r="A286" t="str">
            <v>EGD-0285</v>
          </cell>
          <cell r="B286" t="str">
            <v>SIEMENS</v>
          </cell>
          <cell r="C286" t="str">
            <v>Harmony</v>
          </cell>
          <cell r="D286">
            <v>1</v>
          </cell>
        </row>
        <row r="287">
          <cell r="A287" t="str">
            <v>EGD-0286</v>
          </cell>
          <cell r="B287" t="str">
            <v>SIEMENS</v>
          </cell>
          <cell r="C287" t="str">
            <v>Symphony</v>
          </cell>
          <cell r="D287">
            <v>1.5</v>
          </cell>
        </row>
        <row r="288">
          <cell r="A288" t="str">
            <v>EGD-0287</v>
          </cell>
          <cell r="B288" t="str">
            <v>Philips Medical Systems</v>
          </cell>
          <cell r="C288" t="str">
            <v>Intera</v>
          </cell>
          <cell r="D288">
            <v>1.5</v>
          </cell>
        </row>
        <row r="289">
          <cell r="A289" t="str">
            <v>EGD-0288</v>
          </cell>
          <cell r="B289" t="str">
            <v>Philips Medical Systems</v>
          </cell>
          <cell r="C289" t="str">
            <v>Intera</v>
          </cell>
          <cell r="D289">
            <v>1.5</v>
          </cell>
        </row>
        <row r="290">
          <cell r="A290" t="str">
            <v>EGD-0289</v>
          </cell>
          <cell r="B290" t="str">
            <v>SIEMENS</v>
          </cell>
          <cell r="C290" t="str">
            <v>Avanto</v>
          </cell>
          <cell r="D290">
            <v>1.5</v>
          </cell>
        </row>
        <row r="291">
          <cell r="A291" t="str">
            <v>EGD-0290</v>
          </cell>
          <cell r="B291" t="str">
            <v>Philips Medical Systems</v>
          </cell>
          <cell r="C291" t="str">
            <v>Achieva</v>
          </cell>
          <cell r="D291">
            <v>1.5</v>
          </cell>
        </row>
        <row r="292">
          <cell r="A292" t="str">
            <v>EGD-0291</v>
          </cell>
          <cell r="B292" t="str">
            <v>SIEMENS</v>
          </cell>
          <cell r="C292" t="str">
            <v>Harmony</v>
          </cell>
          <cell r="D292">
            <v>1</v>
          </cell>
        </row>
        <row r="293">
          <cell r="A293" t="str">
            <v>EGD-0292</v>
          </cell>
          <cell r="B293" t="str">
            <v>SIEMENS</v>
          </cell>
          <cell r="C293" t="str">
            <v>Skyra</v>
          </cell>
          <cell r="D293">
            <v>3</v>
          </cell>
        </row>
        <row r="294">
          <cell r="A294" t="str">
            <v>EGD-0293</v>
          </cell>
          <cell r="B294" t="str">
            <v>Philips Medical Systems</v>
          </cell>
          <cell r="C294" t="str">
            <v>Ingenia</v>
          </cell>
          <cell r="D294">
            <v>1.5</v>
          </cell>
        </row>
        <row r="295">
          <cell r="A295" t="str">
            <v>EGD-0294</v>
          </cell>
          <cell r="B295" t="str">
            <v>SIEMENS</v>
          </cell>
          <cell r="C295" t="str">
            <v>Aera</v>
          </cell>
          <cell r="D295">
            <v>1.5</v>
          </cell>
        </row>
        <row r="296">
          <cell r="A296" t="str">
            <v>EGD-0295</v>
          </cell>
          <cell r="B296" t="str">
            <v>SIEMENS</v>
          </cell>
          <cell r="C296" t="str">
            <v>Avanto</v>
          </cell>
          <cell r="D296">
            <v>1.5</v>
          </cell>
        </row>
        <row r="297">
          <cell r="A297" t="str">
            <v>EGD-0296</v>
          </cell>
          <cell r="B297" t="str">
            <v>Philips Medical Systems</v>
          </cell>
          <cell r="C297" t="str">
            <v>Intera</v>
          </cell>
          <cell r="D297">
            <v>1</v>
          </cell>
        </row>
        <row r="298">
          <cell r="A298" t="str">
            <v>EGD-0297</v>
          </cell>
          <cell r="B298" t="str">
            <v>Philips Medical Systems</v>
          </cell>
          <cell r="C298" t="str">
            <v>Achieva</v>
          </cell>
          <cell r="D298">
            <v>1.5</v>
          </cell>
        </row>
        <row r="299">
          <cell r="A299" t="str">
            <v>EGD-0298</v>
          </cell>
          <cell r="B299" t="str">
            <v>Philips Medical Systems</v>
          </cell>
          <cell r="C299" t="str">
            <v>Intera</v>
          </cell>
          <cell r="D299">
            <v>1.5</v>
          </cell>
        </row>
        <row r="300">
          <cell r="A300" t="str">
            <v>EGD-0299</v>
          </cell>
          <cell r="B300" t="str">
            <v>Philips Medical Systems</v>
          </cell>
          <cell r="C300" t="str">
            <v>Intera</v>
          </cell>
          <cell r="D300">
            <v>1.5</v>
          </cell>
        </row>
        <row r="301">
          <cell r="A301" t="str">
            <v>EGD-0300</v>
          </cell>
          <cell r="B301" t="str">
            <v>GE MEDICAL SYSTEMS</v>
          </cell>
          <cell r="C301" t="str">
            <v>GENESIS_SIGNA</v>
          </cell>
          <cell r="D301">
            <v>1</v>
          </cell>
        </row>
        <row r="302">
          <cell r="A302" t="str">
            <v>EGD-0301</v>
          </cell>
          <cell r="B302" t="str">
            <v>GE MEDICAL SYSTEMS</v>
          </cell>
          <cell r="C302" t="str">
            <v>DISCOVERY MR750</v>
          </cell>
          <cell r="D302">
            <v>3</v>
          </cell>
        </row>
        <row r="303">
          <cell r="A303" t="str">
            <v>EGD-0302</v>
          </cell>
          <cell r="B303" t="str">
            <v>SIEMENS</v>
          </cell>
          <cell r="C303" t="str">
            <v>Aera</v>
          </cell>
          <cell r="D303">
            <v>1.5</v>
          </cell>
        </row>
        <row r="304">
          <cell r="A304" t="str">
            <v>EGD-0303</v>
          </cell>
          <cell r="B304" t="str">
            <v>Philips Medical Systems</v>
          </cell>
          <cell r="C304" t="str">
            <v>Intera</v>
          </cell>
          <cell r="D304">
            <v>1.5</v>
          </cell>
        </row>
        <row r="305">
          <cell r="A305" t="str">
            <v>EGD-0304</v>
          </cell>
          <cell r="B305" t="str">
            <v>Philips Medical Systems</v>
          </cell>
          <cell r="C305" t="str">
            <v>Ingenia</v>
          </cell>
          <cell r="D305">
            <v>1.5</v>
          </cell>
        </row>
        <row r="306">
          <cell r="A306" t="str">
            <v>EGD-0305</v>
          </cell>
          <cell r="B306" t="str">
            <v>Philips Medical Systems</v>
          </cell>
          <cell r="C306" t="str">
            <v>Achieva</v>
          </cell>
          <cell r="D306">
            <v>1.5</v>
          </cell>
        </row>
        <row r="307">
          <cell r="A307" t="str">
            <v>EGD-0306</v>
          </cell>
          <cell r="B307" t="str">
            <v>Philips Medical Systems</v>
          </cell>
          <cell r="C307" t="str">
            <v>Intera</v>
          </cell>
          <cell r="D307">
            <v>1.5</v>
          </cell>
        </row>
        <row r="308">
          <cell r="A308" t="str">
            <v>EGD-0307</v>
          </cell>
          <cell r="B308" t="str">
            <v>Philips Medical Systems</v>
          </cell>
          <cell r="C308" t="str">
            <v>Intera</v>
          </cell>
          <cell r="D308">
            <v>1.5</v>
          </cell>
        </row>
        <row r="309">
          <cell r="A309" t="str">
            <v>EGD-0308</v>
          </cell>
          <cell r="B309" t="str">
            <v>Philips Medical Systems</v>
          </cell>
          <cell r="C309" t="str">
            <v>Gyroscan NT</v>
          </cell>
          <cell r="D309">
            <v>1</v>
          </cell>
        </row>
        <row r="310">
          <cell r="A310" t="str">
            <v>EGD-0309</v>
          </cell>
          <cell r="B310" t="str">
            <v>GE MEDICAL SYSTEMS</v>
          </cell>
          <cell r="C310" t="str">
            <v>Signa HDxt</v>
          </cell>
          <cell r="D310">
            <v>1.5</v>
          </cell>
        </row>
        <row r="311">
          <cell r="A311" t="str">
            <v>EGD-0310</v>
          </cell>
          <cell r="B311" t="str">
            <v>Philips Medical Systems</v>
          </cell>
          <cell r="C311" t="str">
            <v>Intera</v>
          </cell>
          <cell r="D311">
            <v>1</v>
          </cell>
        </row>
        <row r="312">
          <cell r="A312" t="str">
            <v>EGD-0311</v>
          </cell>
          <cell r="B312" t="str">
            <v>SIEMENS</v>
          </cell>
          <cell r="C312" t="str">
            <v>Aera</v>
          </cell>
          <cell r="D312">
            <v>1.5</v>
          </cell>
        </row>
        <row r="313">
          <cell r="A313" t="str">
            <v>EGD-0312</v>
          </cell>
          <cell r="B313" t="str">
            <v>SIEMENS</v>
          </cell>
          <cell r="C313" t="str">
            <v>Avanto</v>
          </cell>
          <cell r="D313">
            <v>1.5</v>
          </cell>
        </row>
        <row r="314">
          <cell r="A314" t="str">
            <v>EGD-0313</v>
          </cell>
          <cell r="B314" t="str">
            <v>SIEMENS</v>
          </cell>
          <cell r="C314" t="str">
            <v>Harmony</v>
          </cell>
          <cell r="D314">
            <v>1</v>
          </cell>
        </row>
        <row r="315">
          <cell r="A315" t="str">
            <v>EGD-0314</v>
          </cell>
          <cell r="B315" t="str">
            <v>GE MEDICAL SYSTEMS</v>
          </cell>
          <cell r="C315" t="str">
            <v>DISCOVERY MR750</v>
          </cell>
          <cell r="D315">
            <v>3</v>
          </cell>
        </row>
        <row r="316">
          <cell r="A316" t="str">
            <v>EGD-0315</v>
          </cell>
          <cell r="B316" t="str">
            <v>Philips Medical Systems</v>
          </cell>
          <cell r="C316" t="str">
            <v>Intera</v>
          </cell>
          <cell r="D316">
            <v>1.5</v>
          </cell>
        </row>
        <row r="317">
          <cell r="A317" t="str">
            <v>EGD-0316</v>
          </cell>
          <cell r="B317" t="str">
            <v>SIEMENS</v>
          </cell>
          <cell r="C317" t="str">
            <v>Symphony</v>
          </cell>
          <cell r="D317">
            <v>1.5</v>
          </cell>
        </row>
        <row r="318">
          <cell r="A318" t="str">
            <v>EGD-0317</v>
          </cell>
          <cell r="B318" t="str">
            <v>SIEMENS</v>
          </cell>
          <cell r="C318" t="str">
            <v>Aera</v>
          </cell>
          <cell r="D318">
            <v>1.5</v>
          </cell>
        </row>
        <row r="319">
          <cell r="A319" t="str">
            <v>EGD-0318</v>
          </cell>
          <cell r="B319" t="str">
            <v>GE MEDICAL SYSTEMS</v>
          </cell>
          <cell r="C319" t="str">
            <v>DISCOVERY MR750</v>
          </cell>
          <cell r="D319">
            <v>3</v>
          </cell>
        </row>
        <row r="320">
          <cell r="A320" t="str">
            <v>EGD-0319</v>
          </cell>
          <cell r="B320" t="str">
            <v>SIEMENS</v>
          </cell>
          <cell r="C320" t="str">
            <v>MAGNETOM_ESSENZA</v>
          </cell>
          <cell r="D320">
            <v>1.5</v>
          </cell>
        </row>
        <row r="321">
          <cell r="A321" t="str">
            <v>EGD-0320</v>
          </cell>
          <cell r="B321" t="str">
            <v>Philips Medical Systems</v>
          </cell>
          <cell r="C321" t="str">
            <v>Achieva</v>
          </cell>
          <cell r="D321">
            <v>1.5</v>
          </cell>
        </row>
        <row r="322">
          <cell r="A322" t="str">
            <v>EGD-0321</v>
          </cell>
          <cell r="B322" t="str">
            <v>GE MEDICAL SYSTEMS</v>
          </cell>
          <cell r="C322" t="str">
            <v>DISCOVERY MR450</v>
          </cell>
          <cell r="D322">
            <v>1.5</v>
          </cell>
        </row>
        <row r="323">
          <cell r="A323" t="str">
            <v>EGD-0322</v>
          </cell>
          <cell r="B323" t="str">
            <v>GE MEDICAL SYSTEMS</v>
          </cell>
          <cell r="C323" t="str">
            <v>GENESIS_SIGNA</v>
          </cell>
          <cell r="D323">
            <v>1</v>
          </cell>
        </row>
        <row r="324">
          <cell r="A324" t="str">
            <v>EGD-0323</v>
          </cell>
          <cell r="B324" t="str">
            <v>SIEMENS</v>
          </cell>
          <cell r="C324" t="str">
            <v>Aera</v>
          </cell>
          <cell r="D324">
            <v>1.5</v>
          </cell>
        </row>
        <row r="325">
          <cell r="A325" t="str">
            <v>EGD-0324</v>
          </cell>
          <cell r="B325" t="str">
            <v>SIEMENS</v>
          </cell>
          <cell r="C325" t="str">
            <v>Aera</v>
          </cell>
          <cell r="D325">
            <v>1.5</v>
          </cell>
        </row>
        <row r="326">
          <cell r="A326" t="str">
            <v>EGD-0325</v>
          </cell>
          <cell r="B326" t="str">
            <v>SIEMENS</v>
          </cell>
          <cell r="C326" t="str">
            <v>Symphony</v>
          </cell>
          <cell r="D326">
            <v>1.5</v>
          </cell>
        </row>
        <row r="327">
          <cell r="A327" t="str">
            <v>EGD-0326</v>
          </cell>
          <cell r="B327" t="str">
            <v>GE MEDICAL SYSTEMS</v>
          </cell>
          <cell r="C327" t="str">
            <v>Optima MR450w</v>
          </cell>
          <cell r="D327">
            <v>1.5</v>
          </cell>
        </row>
        <row r="328">
          <cell r="A328" t="str">
            <v>EGD-0327</v>
          </cell>
          <cell r="B328" t="str">
            <v>Philips Medical Systems</v>
          </cell>
          <cell r="C328" t="str">
            <v>Achieva</v>
          </cell>
          <cell r="D328">
            <v>1.5</v>
          </cell>
        </row>
        <row r="329">
          <cell r="A329" t="str">
            <v>EGD-0328</v>
          </cell>
          <cell r="B329" t="str">
            <v>Philips Medical Systems</v>
          </cell>
          <cell r="C329" t="str">
            <v>Intera</v>
          </cell>
          <cell r="D329">
            <v>1.5</v>
          </cell>
        </row>
        <row r="330">
          <cell r="A330" t="str">
            <v>EGD-0329</v>
          </cell>
          <cell r="B330" t="str">
            <v>SIEMENS</v>
          </cell>
          <cell r="C330" t="str">
            <v>MAGNETOM_ESSENZA</v>
          </cell>
          <cell r="D330">
            <v>1.5</v>
          </cell>
        </row>
        <row r="331">
          <cell r="A331" t="str">
            <v>EGD-0330</v>
          </cell>
          <cell r="B331" t="str">
            <v>SIEMENS</v>
          </cell>
          <cell r="C331" t="str">
            <v>Symphony</v>
          </cell>
          <cell r="D331">
            <v>1.5</v>
          </cell>
        </row>
        <row r="332">
          <cell r="A332" t="str">
            <v>EGD-0331</v>
          </cell>
          <cell r="B332" t="str">
            <v>Philips Medical Systems</v>
          </cell>
          <cell r="C332" t="str">
            <v>Intera</v>
          </cell>
          <cell r="D332">
            <v>1.5</v>
          </cell>
        </row>
        <row r="333">
          <cell r="A333" t="str">
            <v>EGD-0332</v>
          </cell>
          <cell r="B333" t="str">
            <v>GE MEDICAL SYSTEMS</v>
          </cell>
          <cell r="C333" t="str">
            <v>DISCOVERY MR450</v>
          </cell>
          <cell r="D333">
            <v>1.5</v>
          </cell>
        </row>
        <row r="334">
          <cell r="A334" t="str">
            <v>EGD-0333</v>
          </cell>
          <cell r="B334" t="str">
            <v>SIEMENS</v>
          </cell>
          <cell r="C334" t="str">
            <v>Harmony</v>
          </cell>
          <cell r="D334">
            <v>1</v>
          </cell>
        </row>
        <row r="335">
          <cell r="A335" t="str">
            <v>EGD-0334</v>
          </cell>
          <cell r="B335" t="str">
            <v>GE MEDICAL SYSTEMS</v>
          </cell>
          <cell r="C335" t="str">
            <v>DISCOVERY MR450</v>
          </cell>
          <cell r="D335">
            <v>1.5</v>
          </cell>
        </row>
        <row r="336">
          <cell r="A336" t="str">
            <v>EGD-0335</v>
          </cell>
          <cell r="B336" t="str">
            <v>SIEMENS</v>
          </cell>
          <cell r="C336" t="str">
            <v>Harmony</v>
          </cell>
          <cell r="D336">
            <v>1</v>
          </cell>
        </row>
        <row r="337">
          <cell r="A337" t="str">
            <v>EGD-0336</v>
          </cell>
          <cell r="B337" t="str">
            <v>SIEMENS</v>
          </cell>
          <cell r="C337" t="str">
            <v>Symphony</v>
          </cell>
          <cell r="D337">
            <v>1.5</v>
          </cell>
        </row>
        <row r="338">
          <cell r="A338" t="str">
            <v>EGD-0337</v>
          </cell>
          <cell r="B338" t="str">
            <v>SIEMENS</v>
          </cell>
          <cell r="C338" t="str">
            <v>Avanto_fit</v>
          </cell>
          <cell r="D338">
            <v>1.5</v>
          </cell>
        </row>
        <row r="339">
          <cell r="A339" t="str">
            <v>EGD-0338</v>
          </cell>
          <cell r="B339" t="str">
            <v>SIEMENS</v>
          </cell>
          <cell r="C339" t="str">
            <v>MAGNETOM_ESSENZA</v>
          </cell>
          <cell r="D339">
            <v>1.5</v>
          </cell>
        </row>
        <row r="340">
          <cell r="A340" t="str">
            <v>EGD-0339</v>
          </cell>
          <cell r="B340" t="str">
            <v>GE MEDICAL SYSTEMS</v>
          </cell>
          <cell r="C340" t="str">
            <v>DISCOVERY MR750</v>
          </cell>
          <cell r="D340">
            <v>3</v>
          </cell>
        </row>
        <row r="341">
          <cell r="A341" t="str">
            <v>EGD-0340</v>
          </cell>
          <cell r="B341" t="str">
            <v>GE MEDICAL SYSTEMS</v>
          </cell>
          <cell r="C341" t="str">
            <v>DISCOVERY MR450</v>
          </cell>
          <cell r="D341">
            <v>1.5</v>
          </cell>
        </row>
        <row r="342">
          <cell r="A342" t="str">
            <v>EGD-0341</v>
          </cell>
          <cell r="B342" t="str">
            <v>Philips Medical Systems</v>
          </cell>
          <cell r="C342" t="str">
            <v>Achieva</v>
          </cell>
          <cell r="D342">
            <v>1.5</v>
          </cell>
        </row>
        <row r="343">
          <cell r="A343" t="str">
            <v>EGD-0342</v>
          </cell>
          <cell r="B343" t="str">
            <v>SIEMENS</v>
          </cell>
          <cell r="C343" t="str">
            <v>MAGNETOM_ESSENZA</v>
          </cell>
          <cell r="D343">
            <v>1.5</v>
          </cell>
        </row>
        <row r="344">
          <cell r="A344" t="str">
            <v>EGD-0343</v>
          </cell>
          <cell r="B344" t="str">
            <v>SIEMENS</v>
          </cell>
          <cell r="C344" t="str">
            <v>Aera</v>
          </cell>
          <cell r="D344">
            <v>1.5</v>
          </cell>
        </row>
        <row r="345">
          <cell r="A345" t="str">
            <v>EGD-0344</v>
          </cell>
          <cell r="B345" t="str">
            <v>SIEMENS</v>
          </cell>
          <cell r="C345" t="str">
            <v>Avanto</v>
          </cell>
          <cell r="D345">
            <v>1.5</v>
          </cell>
        </row>
        <row r="346">
          <cell r="A346" t="str">
            <v>EGD-0345</v>
          </cell>
          <cell r="B346" t="str">
            <v>Philips Medical Systems</v>
          </cell>
          <cell r="C346" t="str">
            <v>Achieva</v>
          </cell>
          <cell r="D346">
            <v>1.5</v>
          </cell>
        </row>
        <row r="347">
          <cell r="A347" t="str">
            <v>EGD-0346</v>
          </cell>
          <cell r="B347" t="str">
            <v>Philips Medical Systems</v>
          </cell>
          <cell r="C347" t="str">
            <v>NT Intera</v>
          </cell>
          <cell r="D347">
            <v>1</v>
          </cell>
        </row>
        <row r="348">
          <cell r="A348" t="str">
            <v>EGD-0347</v>
          </cell>
          <cell r="B348" t="str">
            <v>SIEMENS</v>
          </cell>
          <cell r="C348" t="str">
            <v>Avanto</v>
          </cell>
          <cell r="D348">
            <v>1.5</v>
          </cell>
        </row>
        <row r="349">
          <cell r="A349" t="str">
            <v>EGD-0348</v>
          </cell>
          <cell r="B349" t="str">
            <v>Philips Medical Systems</v>
          </cell>
          <cell r="C349" t="str">
            <v>Intera</v>
          </cell>
          <cell r="D349">
            <v>1.5</v>
          </cell>
        </row>
        <row r="350">
          <cell r="A350" t="str">
            <v>EGD-0349</v>
          </cell>
          <cell r="B350" t="str">
            <v>SIEMENS</v>
          </cell>
          <cell r="C350" t="str">
            <v>MAGNETOM_ESSENZA</v>
          </cell>
          <cell r="D350">
            <v>1.5</v>
          </cell>
        </row>
        <row r="351">
          <cell r="A351" t="str">
            <v>EGD-0350</v>
          </cell>
          <cell r="B351" t="str">
            <v>SIEMENS</v>
          </cell>
          <cell r="C351" t="str">
            <v>MAGNETOM_ESSENZA</v>
          </cell>
          <cell r="D351">
            <v>1.5</v>
          </cell>
        </row>
        <row r="352">
          <cell r="A352" t="str">
            <v>EGD-0351</v>
          </cell>
          <cell r="B352" t="str">
            <v>GE MEDICAL SYSTEMS</v>
          </cell>
          <cell r="C352" t="str">
            <v>DISCOVERY MR450</v>
          </cell>
          <cell r="D352">
            <v>1.5</v>
          </cell>
        </row>
        <row r="353">
          <cell r="A353" t="str">
            <v>EGD-0352</v>
          </cell>
          <cell r="B353" t="str">
            <v>SIEMENS</v>
          </cell>
          <cell r="C353" t="str">
            <v>Espree</v>
          </cell>
          <cell r="D353">
            <v>1.5</v>
          </cell>
        </row>
        <row r="354">
          <cell r="A354" t="str">
            <v>EGD-0353</v>
          </cell>
          <cell r="B354" t="str">
            <v>SIEMENS</v>
          </cell>
          <cell r="C354" t="str">
            <v>Avanto</v>
          </cell>
          <cell r="D354">
            <v>1.5</v>
          </cell>
        </row>
        <row r="355">
          <cell r="A355" t="str">
            <v>EGD-0354</v>
          </cell>
          <cell r="B355" t="str">
            <v>Philips Medical Systems</v>
          </cell>
          <cell r="C355" t="str">
            <v>Achieva</v>
          </cell>
          <cell r="D355">
            <v>1.5</v>
          </cell>
        </row>
        <row r="356">
          <cell r="A356" t="str">
            <v>EGD-0355</v>
          </cell>
          <cell r="B356" t="str">
            <v>TOSHIBA_MEC</v>
          </cell>
          <cell r="C356" t="str">
            <v>MRT200PP3</v>
          </cell>
          <cell r="D356">
            <v>-1</v>
          </cell>
        </row>
        <row r="357">
          <cell r="A357" t="str">
            <v>EGD-0356</v>
          </cell>
          <cell r="B357" t="str">
            <v>GE MEDICAL SYSTEMS</v>
          </cell>
          <cell r="C357" t="str">
            <v>DISCOVERY MR450</v>
          </cell>
          <cell r="D357">
            <v>1.5</v>
          </cell>
        </row>
        <row r="358">
          <cell r="A358" t="str">
            <v>EGD-0357</v>
          </cell>
          <cell r="B358" t="str">
            <v>SIEMENS</v>
          </cell>
          <cell r="C358" t="str">
            <v>Espree</v>
          </cell>
          <cell r="D358">
            <v>1.5</v>
          </cell>
        </row>
        <row r="359">
          <cell r="A359" t="str">
            <v>EGD-0358</v>
          </cell>
          <cell r="B359" t="str">
            <v>SIEMENS</v>
          </cell>
          <cell r="C359" t="str">
            <v>Aera</v>
          </cell>
          <cell r="D359">
            <v>1.5</v>
          </cell>
        </row>
        <row r="360">
          <cell r="A360" t="str">
            <v>EGD-0359</v>
          </cell>
          <cell r="B360" t="str">
            <v>SIEMENS</v>
          </cell>
          <cell r="C360" t="str">
            <v>Symphony</v>
          </cell>
          <cell r="D360">
            <v>1.5</v>
          </cell>
        </row>
        <row r="361">
          <cell r="A361" t="str">
            <v>EGD-0360</v>
          </cell>
          <cell r="B361" t="str">
            <v>Philips Medical Systems</v>
          </cell>
          <cell r="C361" t="str">
            <v>Intera</v>
          </cell>
          <cell r="D361">
            <v>1.5</v>
          </cell>
        </row>
        <row r="362">
          <cell r="A362" t="str">
            <v>EGD-0361</v>
          </cell>
          <cell r="B362" t="str">
            <v>Philips Medical Systems</v>
          </cell>
          <cell r="C362" t="str">
            <v>Intera</v>
          </cell>
          <cell r="D362">
            <v>1.5</v>
          </cell>
        </row>
        <row r="363">
          <cell r="A363" t="str">
            <v>EGD-0362</v>
          </cell>
          <cell r="B363" t="str">
            <v>SIEMENS</v>
          </cell>
          <cell r="C363" t="str">
            <v>Harmony</v>
          </cell>
          <cell r="D363">
            <v>1</v>
          </cell>
        </row>
        <row r="364">
          <cell r="A364" t="str">
            <v>EGD-0363</v>
          </cell>
          <cell r="B364" t="str">
            <v>SIEMENS</v>
          </cell>
          <cell r="C364" t="str">
            <v>Aera</v>
          </cell>
          <cell r="D364">
            <v>1.5</v>
          </cell>
        </row>
        <row r="365">
          <cell r="A365" t="str">
            <v>EGD-0364</v>
          </cell>
          <cell r="B365" t="str">
            <v>Philips Medical Systems</v>
          </cell>
          <cell r="C365" t="str">
            <v>Intera</v>
          </cell>
          <cell r="D365">
            <v>1.5</v>
          </cell>
        </row>
        <row r="366">
          <cell r="A366" t="str">
            <v>EGD-0365</v>
          </cell>
          <cell r="B366" t="str">
            <v>SIEMENS</v>
          </cell>
          <cell r="C366" t="str">
            <v>Aera</v>
          </cell>
          <cell r="D366">
            <v>1.5</v>
          </cell>
        </row>
        <row r="367">
          <cell r="A367" t="str">
            <v>EGD-0366</v>
          </cell>
          <cell r="B367" t="str">
            <v>Philips Medical Systems</v>
          </cell>
          <cell r="C367" t="str">
            <v>Achieva dStream</v>
          </cell>
          <cell r="D367">
            <v>1.5</v>
          </cell>
        </row>
        <row r="368">
          <cell r="A368" t="str">
            <v>EGD-0367</v>
          </cell>
          <cell r="B368" t="str">
            <v>SIEMENS</v>
          </cell>
          <cell r="C368" t="str">
            <v>Aera</v>
          </cell>
          <cell r="D368">
            <v>1.5</v>
          </cell>
        </row>
        <row r="369">
          <cell r="A369" t="str">
            <v>EGD-0368</v>
          </cell>
          <cell r="B369" t="str">
            <v>GE MEDICAL SYSTEMS</v>
          </cell>
          <cell r="C369" t="str">
            <v>DISCOVERY MR750</v>
          </cell>
          <cell r="D369">
            <v>3</v>
          </cell>
        </row>
        <row r="370">
          <cell r="A370" t="str">
            <v>EGD-0369</v>
          </cell>
          <cell r="B370" t="str">
            <v>Philips Medical Systems</v>
          </cell>
          <cell r="C370" t="str">
            <v>Intera</v>
          </cell>
          <cell r="D370">
            <v>1.5</v>
          </cell>
        </row>
        <row r="371">
          <cell r="A371" t="str">
            <v>EGD-0370</v>
          </cell>
          <cell r="B371" t="str">
            <v>Philips Medical Systems</v>
          </cell>
          <cell r="C371" t="str">
            <v>Intera</v>
          </cell>
          <cell r="D371">
            <v>1</v>
          </cell>
        </row>
        <row r="372">
          <cell r="A372" t="str">
            <v>EGD-0371</v>
          </cell>
          <cell r="B372" t="str">
            <v>Philips Medical Systems</v>
          </cell>
          <cell r="C372" t="str">
            <v>Achieva</v>
          </cell>
          <cell r="D372">
            <v>1.5</v>
          </cell>
        </row>
        <row r="373">
          <cell r="A373" t="str">
            <v>EGD-0372</v>
          </cell>
          <cell r="B373" t="str">
            <v>GE MEDICAL SYSTEMS</v>
          </cell>
          <cell r="C373" t="str">
            <v>DISCOVERY MR450</v>
          </cell>
          <cell r="D373">
            <v>1.5</v>
          </cell>
        </row>
        <row r="374">
          <cell r="A374" t="str">
            <v>EGD-0373</v>
          </cell>
          <cell r="B374" t="str">
            <v>SIEMENS</v>
          </cell>
          <cell r="C374" t="str">
            <v>MAGNETOM EXPERT</v>
          </cell>
          <cell r="D374">
            <v>1</v>
          </cell>
        </row>
        <row r="375">
          <cell r="A375" t="str">
            <v>EGD-0374</v>
          </cell>
          <cell r="B375" t="str">
            <v>Philips Medical Systems</v>
          </cell>
          <cell r="C375" t="str">
            <v>Achieva</v>
          </cell>
          <cell r="D375">
            <v>1.5</v>
          </cell>
        </row>
        <row r="376">
          <cell r="A376" t="str">
            <v>EGD-0375</v>
          </cell>
          <cell r="B376" t="str">
            <v>Philips Medical Systems</v>
          </cell>
          <cell r="C376" t="str">
            <v>Intera</v>
          </cell>
          <cell r="D376">
            <v>1.5</v>
          </cell>
        </row>
        <row r="377">
          <cell r="A377" t="str">
            <v>EGD-0376</v>
          </cell>
          <cell r="B377" t="str">
            <v>SIEMENS</v>
          </cell>
          <cell r="C377" t="str">
            <v>Aera</v>
          </cell>
          <cell r="D377">
            <v>1.5</v>
          </cell>
        </row>
        <row r="378">
          <cell r="A378" t="str">
            <v>EGD-0377</v>
          </cell>
          <cell r="B378" t="str">
            <v>Philips Medical Systems</v>
          </cell>
          <cell r="C378" t="str">
            <v>Intera</v>
          </cell>
          <cell r="D378">
            <v>1.5</v>
          </cell>
        </row>
        <row r="379">
          <cell r="A379" t="str">
            <v>EGD-0378</v>
          </cell>
          <cell r="B379" t="str">
            <v>GE MEDICAL SYSTEMS</v>
          </cell>
          <cell r="C379" t="str">
            <v>Signa HDxt</v>
          </cell>
          <cell r="D379">
            <v>1.5</v>
          </cell>
        </row>
        <row r="380">
          <cell r="A380" t="str">
            <v>EGD-0379</v>
          </cell>
          <cell r="B380" t="str">
            <v>SIEMENS</v>
          </cell>
          <cell r="C380" t="str">
            <v>TrioTim</v>
          </cell>
          <cell r="D380">
            <v>3</v>
          </cell>
        </row>
        <row r="381">
          <cell r="A381" t="str">
            <v>EGD-0380</v>
          </cell>
          <cell r="B381" t="str">
            <v>GE MEDICAL SYSTEMS</v>
          </cell>
          <cell r="C381" t="str">
            <v>DISCOVERY MR750</v>
          </cell>
          <cell r="D381">
            <v>3</v>
          </cell>
        </row>
        <row r="382">
          <cell r="A382" t="str">
            <v>EGD-0381</v>
          </cell>
          <cell r="B382" t="str">
            <v>Philips Medical Systems</v>
          </cell>
          <cell r="C382" t="str">
            <v>Achieva</v>
          </cell>
          <cell r="D382">
            <v>1.5</v>
          </cell>
        </row>
        <row r="383">
          <cell r="A383" t="str">
            <v>EGD-0382</v>
          </cell>
          <cell r="B383" t="str">
            <v>SIEMENS</v>
          </cell>
          <cell r="C383" t="str">
            <v>Symphony</v>
          </cell>
          <cell r="D383">
            <v>1.5</v>
          </cell>
        </row>
        <row r="384">
          <cell r="A384" t="str">
            <v>EGD-0383</v>
          </cell>
          <cell r="B384" t="str">
            <v>SIEMENS</v>
          </cell>
          <cell r="C384" t="str">
            <v>Avanto</v>
          </cell>
          <cell r="D384">
            <v>1.5</v>
          </cell>
        </row>
        <row r="385">
          <cell r="A385" t="str">
            <v>EGD-0384</v>
          </cell>
          <cell r="B385" t="str">
            <v>Philips Medical Systems</v>
          </cell>
          <cell r="C385" t="str">
            <v>Ingenia</v>
          </cell>
          <cell r="D385">
            <v>3</v>
          </cell>
        </row>
        <row r="386">
          <cell r="A386" t="str">
            <v>EGD-0385</v>
          </cell>
          <cell r="B386" t="str">
            <v>SIEMENS</v>
          </cell>
          <cell r="C386" t="str">
            <v>Skyra</v>
          </cell>
          <cell r="D386">
            <v>3</v>
          </cell>
        </row>
        <row r="387">
          <cell r="A387" t="str">
            <v>EGD-0386</v>
          </cell>
          <cell r="B387" t="str">
            <v>SIEMENS</v>
          </cell>
          <cell r="C387" t="str">
            <v>MAGNETOM_ESSENZA</v>
          </cell>
          <cell r="D387">
            <v>1.5</v>
          </cell>
        </row>
        <row r="388">
          <cell r="A388" t="str">
            <v>EGD-0387</v>
          </cell>
          <cell r="B388" t="str">
            <v>Philips Medical Systems</v>
          </cell>
          <cell r="C388" t="str">
            <v>Intera</v>
          </cell>
          <cell r="D388">
            <v>1.5</v>
          </cell>
        </row>
        <row r="389">
          <cell r="A389" t="str">
            <v>EGD-0388</v>
          </cell>
          <cell r="B389" t="str">
            <v>Philips Medical Systems</v>
          </cell>
          <cell r="C389" t="str">
            <v>Intera</v>
          </cell>
          <cell r="D389">
            <v>1.5</v>
          </cell>
        </row>
        <row r="390">
          <cell r="A390" t="str">
            <v>EGD-0389</v>
          </cell>
          <cell r="B390" t="str">
            <v>SIEMENS</v>
          </cell>
          <cell r="C390" t="str">
            <v>MAGNETOM_ESSENZA</v>
          </cell>
          <cell r="D390">
            <v>1.5</v>
          </cell>
        </row>
        <row r="391">
          <cell r="A391" t="str">
            <v>EGD-0390</v>
          </cell>
          <cell r="B391" t="str">
            <v>Philips Medical Systems</v>
          </cell>
          <cell r="C391" t="str">
            <v>Achieva dStream</v>
          </cell>
          <cell r="D391">
            <v>1.5</v>
          </cell>
        </row>
        <row r="392">
          <cell r="A392" t="str">
            <v>EGD-0391</v>
          </cell>
          <cell r="B392" t="str">
            <v>Philips Medical Systems</v>
          </cell>
          <cell r="C392" t="str">
            <v>Achieva</v>
          </cell>
          <cell r="D392">
            <v>1.5</v>
          </cell>
        </row>
        <row r="393">
          <cell r="A393" t="str">
            <v>EGD-0392</v>
          </cell>
          <cell r="B393" t="str">
            <v>SIEMENS</v>
          </cell>
          <cell r="C393" t="str">
            <v>Avanto</v>
          </cell>
          <cell r="D393">
            <v>1.5</v>
          </cell>
        </row>
        <row r="394">
          <cell r="A394" t="str">
            <v>EGD-0393</v>
          </cell>
          <cell r="B394" t="str">
            <v>Philips Medical Systems</v>
          </cell>
          <cell r="C394" t="str">
            <v>Achieva</v>
          </cell>
          <cell r="D394">
            <v>3</v>
          </cell>
        </row>
        <row r="395">
          <cell r="A395" t="str">
            <v>EGD-0394</v>
          </cell>
          <cell r="B395" t="str">
            <v>GE MEDICAL SYSTEMS</v>
          </cell>
          <cell r="C395" t="str">
            <v>DISCOVERY MR450</v>
          </cell>
          <cell r="D395">
            <v>1.5</v>
          </cell>
        </row>
        <row r="396">
          <cell r="A396" t="str">
            <v>EGD-0395</v>
          </cell>
          <cell r="B396" t="str">
            <v>Philips Medical Systems</v>
          </cell>
          <cell r="C396" t="str">
            <v>Achieva</v>
          </cell>
          <cell r="D396">
            <v>1.5</v>
          </cell>
        </row>
        <row r="397">
          <cell r="A397" t="str">
            <v>EGD-0396</v>
          </cell>
          <cell r="B397" t="str">
            <v>GE MEDICAL SYSTEMS</v>
          </cell>
          <cell r="C397" t="str">
            <v>DISCOVERY MR750</v>
          </cell>
          <cell r="D397">
            <v>3</v>
          </cell>
        </row>
        <row r="398">
          <cell r="A398" t="str">
            <v>EGD-0397</v>
          </cell>
          <cell r="B398" t="str">
            <v>SIEMENS</v>
          </cell>
          <cell r="C398" t="str">
            <v>Symphony</v>
          </cell>
          <cell r="D398">
            <v>1.5</v>
          </cell>
        </row>
        <row r="399">
          <cell r="A399" t="str">
            <v>EGD-0398</v>
          </cell>
          <cell r="B399" t="str">
            <v>SIEMENS</v>
          </cell>
          <cell r="C399" t="str">
            <v>Symphony</v>
          </cell>
          <cell r="D399">
            <v>1.5</v>
          </cell>
        </row>
        <row r="400">
          <cell r="A400" t="str">
            <v>EGD-0399</v>
          </cell>
          <cell r="B400" t="str">
            <v>Philips Medical Systems</v>
          </cell>
          <cell r="C400" t="str">
            <v>Intera</v>
          </cell>
          <cell r="D400">
            <v>1.5</v>
          </cell>
        </row>
        <row r="401">
          <cell r="A401" t="str">
            <v>EGD-0400</v>
          </cell>
          <cell r="B401" t="str">
            <v>SIEMENS</v>
          </cell>
          <cell r="C401" t="str">
            <v>Skyra</v>
          </cell>
          <cell r="D401">
            <v>3</v>
          </cell>
        </row>
        <row r="402">
          <cell r="A402" t="str">
            <v>EGD-0401</v>
          </cell>
          <cell r="B402" t="str">
            <v>GE MEDICAL SYSTEMS</v>
          </cell>
          <cell r="C402" t="str">
            <v>DISCOVERY MR450</v>
          </cell>
          <cell r="D402">
            <v>1.5</v>
          </cell>
        </row>
        <row r="403">
          <cell r="A403" t="str">
            <v>EGD-0402</v>
          </cell>
          <cell r="B403" t="str">
            <v>SIEMENS</v>
          </cell>
          <cell r="C403" t="str">
            <v>Espree</v>
          </cell>
          <cell r="D403">
            <v>1.5</v>
          </cell>
        </row>
        <row r="404">
          <cell r="A404" t="str">
            <v>EGD-0403</v>
          </cell>
          <cell r="B404" t="str">
            <v>Philips Medical Systems</v>
          </cell>
          <cell r="C404" t="str">
            <v>Intera</v>
          </cell>
          <cell r="D404">
            <v>1</v>
          </cell>
        </row>
        <row r="405">
          <cell r="A405" t="str">
            <v>EGD-0404</v>
          </cell>
          <cell r="B405" t="str">
            <v>SIEMENS</v>
          </cell>
          <cell r="C405" t="str">
            <v>Harmony</v>
          </cell>
          <cell r="D405">
            <v>1</v>
          </cell>
        </row>
        <row r="406">
          <cell r="A406" t="str">
            <v>EGD-0405</v>
          </cell>
          <cell r="B406" t="str">
            <v>Philips Medical Systems</v>
          </cell>
          <cell r="C406" t="str">
            <v>Achieva dStream</v>
          </cell>
          <cell r="D406">
            <v>1.5</v>
          </cell>
        </row>
        <row r="407">
          <cell r="A407" t="str">
            <v>EGD-0406</v>
          </cell>
          <cell r="B407" t="str">
            <v>SIEMENS</v>
          </cell>
          <cell r="C407" t="str">
            <v>Avanto</v>
          </cell>
          <cell r="D407">
            <v>1.5</v>
          </cell>
        </row>
        <row r="408">
          <cell r="A408" t="str">
            <v>EGD-0407</v>
          </cell>
          <cell r="B408" t="str">
            <v>SIEMENS</v>
          </cell>
          <cell r="C408" t="str">
            <v>Harmony</v>
          </cell>
          <cell r="D408">
            <v>1</v>
          </cell>
        </row>
        <row r="409">
          <cell r="A409" t="str">
            <v>EGD-0408</v>
          </cell>
          <cell r="B409" t="str">
            <v>GE MEDICAL SYSTEMS</v>
          </cell>
          <cell r="C409" t="str">
            <v>DISCOVERY MR450</v>
          </cell>
          <cell r="D409">
            <v>1.5</v>
          </cell>
        </row>
        <row r="410">
          <cell r="A410" t="str">
            <v>EGD-0409</v>
          </cell>
          <cell r="B410" t="str">
            <v>Philips Medical Systems</v>
          </cell>
          <cell r="C410" t="str">
            <v>NT Intera</v>
          </cell>
          <cell r="D410">
            <v>1.5</v>
          </cell>
        </row>
        <row r="411">
          <cell r="A411" t="str">
            <v>EGD-0410</v>
          </cell>
          <cell r="B411" t="str">
            <v>Philips Medical Systems</v>
          </cell>
          <cell r="C411" t="str">
            <v>Intera</v>
          </cell>
          <cell r="D411">
            <v>1.5</v>
          </cell>
        </row>
        <row r="412">
          <cell r="A412" t="str">
            <v>EGD-0411</v>
          </cell>
          <cell r="B412" t="str">
            <v>Philips Medical Systems</v>
          </cell>
          <cell r="C412" t="str">
            <v>Achieva</v>
          </cell>
          <cell r="D412">
            <v>1.5</v>
          </cell>
        </row>
        <row r="413">
          <cell r="A413" t="str">
            <v>EGD-0412</v>
          </cell>
          <cell r="B413" t="str">
            <v>SIEMENS</v>
          </cell>
          <cell r="C413" t="str">
            <v>Aera</v>
          </cell>
          <cell r="D413">
            <v>1.5</v>
          </cell>
        </row>
        <row r="414">
          <cell r="A414" t="str">
            <v>EGD-0413</v>
          </cell>
          <cell r="B414" t="str">
            <v>Philips Medical Systems</v>
          </cell>
          <cell r="C414" t="str">
            <v>Intera</v>
          </cell>
          <cell r="D414">
            <v>1</v>
          </cell>
        </row>
        <row r="415">
          <cell r="A415" t="str">
            <v>EGD-0414</v>
          </cell>
          <cell r="B415" t="str">
            <v>SIEMENS</v>
          </cell>
          <cell r="C415" t="str">
            <v>Avanto</v>
          </cell>
          <cell r="D415">
            <v>1.5</v>
          </cell>
        </row>
        <row r="416">
          <cell r="A416" t="str">
            <v>EGD-0415</v>
          </cell>
          <cell r="B416" t="str">
            <v>GE MEDICAL SYSTEMS</v>
          </cell>
          <cell r="C416" t="str">
            <v>GENESIS_SIGNA</v>
          </cell>
          <cell r="D416">
            <v>1.5</v>
          </cell>
        </row>
        <row r="417">
          <cell r="A417" t="str">
            <v>EGD-0416</v>
          </cell>
          <cell r="B417" t="str">
            <v>SIEMENS</v>
          </cell>
          <cell r="C417" t="str">
            <v>Harmony</v>
          </cell>
          <cell r="D417">
            <v>1</v>
          </cell>
        </row>
        <row r="418">
          <cell r="A418" t="str">
            <v>EGD-0417</v>
          </cell>
          <cell r="B418" t="str">
            <v>GE MEDICAL SYSTEMS</v>
          </cell>
          <cell r="C418" t="str">
            <v>DISCOVERY MR450</v>
          </cell>
          <cell r="D418">
            <v>1.5</v>
          </cell>
        </row>
        <row r="419">
          <cell r="A419" t="str">
            <v>EGD-0418</v>
          </cell>
          <cell r="B419" t="str">
            <v>SIEMENS</v>
          </cell>
          <cell r="C419" t="str">
            <v>Espree</v>
          </cell>
          <cell r="D419">
            <v>1.5</v>
          </cell>
        </row>
        <row r="420">
          <cell r="A420" t="str">
            <v>EGD-0419</v>
          </cell>
          <cell r="B420" t="str">
            <v>GE MEDICAL SYSTEMS</v>
          </cell>
          <cell r="C420" t="str">
            <v>GENESIS_SIGNA</v>
          </cell>
          <cell r="D420">
            <v>1</v>
          </cell>
        </row>
        <row r="421">
          <cell r="A421" t="str">
            <v>EGD-0420</v>
          </cell>
          <cell r="B421" t="str">
            <v>SIEMENS</v>
          </cell>
          <cell r="C421" t="str">
            <v>Symphony</v>
          </cell>
          <cell r="D421">
            <v>1.5</v>
          </cell>
        </row>
        <row r="422">
          <cell r="A422" t="str">
            <v>EGD-0421</v>
          </cell>
          <cell r="B422" t="str">
            <v>GE MEDICAL SYSTEMS</v>
          </cell>
          <cell r="C422" t="str">
            <v>Signa HDxt</v>
          </cell>
          <cell r="D422">
            <v>1.5</v>
          </cell>
        </row>
        <row r="423">
          <cell r="A423" t="str">
            <v>EGD-0422</v>
          </cell>
          <cell r="B423" t="str">
            <v>SIEMENS</v>
          </cell>
          <cell r="C423" t="str">
            <v>Harmony</v>
          </cell>
          <cell r="D423">
            <v>1</v>
          </cell>
        </row>
        <row r="424">
          <cell r="A424" t="str">
            <v>EGD-0423</v>
          </cell>
          <cell r="B424" t="str">
            <v>SIEMENS</v>
          </cell>
          <cell r="C424" t="str">
            <v>Aera</v>
          </cell>
          <cell r="D424">
            <v>1.5</v>
          </cell>
        </row>
        <row r="425">
          <cell r="A425" t="str">
            <v>EGD-0424</v>
          </cell>
          <cell r="B425" t="str">
            <v>SIEMENS</v>
          </cell>
          <cell r="C425" t="str">
            <v>Aera</v>
          </cell>
          <cell r="D425">
            <v>1.5</v>
          </cell>
        </row>
        <row r="426">
          <cell r="A426" t="str">
            <v>EGD-0425</v>
          </cell>
          <cell r="B426" t="str">
            <v>SIEMENS</v>
          </cell>
          <cell r="C426" t="str">
            <v>Skyra</v>
          </cell>
          <cell r="D426">
            <v>3</v>
          </cell>
        </row>
        <row r="427">
          <cell r="A427" t="str">
            <v>EGD-0426</v>
          </cell>
          <cell r="B427" t="str">
            <v>GE MEDICAL SYSTEMS</v>
          </cell>
          <cell r="C427" t="str">
            <v>Signa HDxt</v>
          </cell>
          <cell r="D427">
            <v>1.5</v>
          </cell>
        </row>
        <row r="428">
          <cell r="A428" t="str">
            <v>EGD-0427</v>
          </cell>
          <cell r="B428" t="str">
            <v>SIEMENS</v>
          </cell>
          <cell r="C428" t="str">
            <v>Aera</v>
          </cell>
          <cell r="D428">
            <v>1.5</v>
          </cell>
        </row>
        <row r="429">
          <cell r="A429" t="str">
            <v>EGD-0428</v>
          </cell>
          <cell r="B429" t="str">
            <v>Philips Medical Systems</v>
          </cell>
          <cell r="C429" t="str">
            <v>Achieva</v>
          </cell>
          <cell r="D429">
            <v>1.5</v>
          </cell>
        </row>
        <row r="430">
          <cell r="A430" t="str">
            <v>EGD-0429</v>
          </cell>
          <cell r="B430" t="str">
            <v>Philips Medical Systems</v>
          </cell>
          <cell r="C430" t="str">
            <v>Panorama HFO</v>
          </cell>
          <cell r="D430">
            <v>1</v>
          </cell>
        </row>
        <row r="431">
          <cell r="A431" t="str">
            <v>EGD-0430</v>
          </cell>
          <cell r="B431" t="str">
            <v>SIEMENS</v>
          </cell>
          <cell r="C431" t="str">
            <v>Avanto</v>
          </cell>
          <cell r="D431">
            <v>1.5</v>
          </cell>
        </row>
        <row r="432">
          <cell r="A432" t="str">
            <v>EGD-0431</v>
          </cell>
          <cell r="B432" t="str">
            <v>GE MEDICAL SYSTEMS</v>
          </cell>
          <cell r="C432" t="str">
            <v>DISCOVERY MR750</v>
          </cell>
          <cell r="D432">
            <v>3</v>
          </cell>
        </row>
        <row r="433">
          <cell r="A433" t="str">
            <v>EGD-0432</v>
          </cell>
          <cell r="B433" t="str">
            <v>GE MEDICAL SYSTEMS</v>
          </cell>
          <cell r="C433" t="str">
            <v>DISCOVERY MR750</v>
          </cell>
          <cell r="D433">
            <v>3</v>
          </cell>
        </row>
        <row r="434">
          <cell r="A434" t="str">
            <v>EGD-0433</v>
          </cell>
          <cell r="B434" t="str">
            <v>SIEMENS</v>
          </cell>
          <cell r="C434" t="str">
            <v>MAGNETOM_ESSENZA</v>
          </cell>
          <cell r="D434">
            <v>1.5</v>
          </cell>
        </row>
        <row r="435">
          <cell r="A435" t="str">
            <v>EGD-0434</v>
          </cell>
          <cell r="B435" t="str">
            <v>SIEMENS</v>
          </cell>
          <cell r="C435" t="str">
            <v>SonataVision</v>
          </cell>
          <cell r="D435">
            <v>1.5</v>
          </cell>
        </row>
        <row r="436">
          <cell r="A436" t="str">
            <v>EGD-0435</v>
          </cell>
          <cell r="B436" t="str">
            <v>GE MEDICAL SYSTEMS</v>
          </cell>
          <cell r="C436" t="str">
            <v>GENESIS_SIGNA</v>
          </cell>
          <cell r="D436">
            <v>1</v>
          </cell>
        </row>
        <row r="437">
          <cell r="A437" t="str">
            <v>EGD-0436</v>
          </cell>
          <cell r="B437" t="str">
            <v>SIEMENS</v>
          </cell>
          <cell r="C437" t="str">
            <v>Symphony</v>
          </cell>
          <cell r="D437">
            <v>1.5</v>
          </cell>
        </row>
        <row r="438">
          <cell r="A438" t="str">
            <v>EGD-0437</v>
          </cell>
          <cell r="B438" t="str">
            <v>Philips Medical Systems</v>
          </cell>
          <cell r="C438" t="str">
            <v>Achieva</v>
          </cell>
          <cell r="D438">
            <v>1.5</v>
          </cell>
        </row>
        <row r="439">
          <cell r="A439" t="str">
            <v>EGD-0438</v>
          </cell>
          <cell r="B439" t="str">
            <v>Philips Medical Systems</v>
          </cell>
          <cell r="C439" t="str">
            <v>Ingenia</v>
          </cell>
          <cell r="D439">
            <v>3</v>
          </cell>
        </row>
        <row r="440">
          <cell r="A440" t="str">
            <v>EGD-0439</v>
          </cell>
          <cell r="B440" t="str">
            <v>SIEMENS</v>
          </cell>
          <cell r="C440" t="str">
            <v>Symphony</v>
          </cell>
          <cell r="D440">
            <v>1.5</v>
          </cell>
        </row>
        <row r="441">
          <cell r="A441" t="str">
            <v>EGD-0440</v>
          </cell>
          <cell r="B441" t="str">
            <v>SIEMENS</v>
          </cell>
          <cell r="C441" t="str">
            <v>Avanto</v>
          </cell>
          <cell r="D441">
            <v>1.5</v>
          </cell>
        </row>
        <row r="442">
          <cell r="A442" t="str">
            <v>EGD-0441</v>
          </cell>
          <cell r="B442" t="str">
            <v>Philips Medical Systems</v>
          </cell>
          <cell r="C442" t="str">
            <v>Achieva</v>
          </cell>
          <cell r="D442">
            <v>1.5</v>
          </cell>
        </row>
        <row r="443">
          <cell r="A443" t="str">
            <v>EGD-0442</v>
          </cell>
          <cell r="B443" t="str">
            <v>SIEMENS</v>
          </cell>
          <cell r="C443" t="str">
            <v>Harmony</v>
          </cell>
          <cell r="D443">
            <v>1</v>
          </cell>
        </row>
        <row r="444">
          <cell r="A444" t="str">
            <v>EGD-0443</v>
          </cell>
          <cell r="B444" t="str">
            <v>SIEMENS</v>
          </cell>
          <cell r="C444" t="str">
            <v>Symphony</v>
          </cell>
          <cell r="D444">
            <v>1.5</v>
          </cell>
        </row>
        <row r="445">
          <cell r="A445" t="str">
            <v>EGD-0444</v>
          </cell>
          <cell r="B445" t="str">
            <v>GE MEDICAL SYSTEMS</v>
          </cell>
          <cell r="C445" t="str">
            <v>Signa HDxt</v>
          </cell>
          <cell r="D445">
            <v>1.5</v>
          </cell>
        </row>
        <row r="446">
          <cell r="A446" t="str">
            <v>EGD-0445</v>
          </cell>
          <cell r="B446" t="str">
            <v>Philips Medical Systems</v>
          </cell>
          <cell r="C446" t="str">
            <v>Intera</v>
          </cell>
          <cell r="D446">
            <v>1.5</v>
          </cell>
        </row>
        <row r="447">
          <cell r="A447" t="str">
            <v>EGD-0446</v>
          </cell>
          <cell r="B447" t="str">
            <v>GE MEDICAL SYSTEMS</v>
          </cell>
          <cell r="C447" t="str">
            <v>Signa HDxt</v>
          </cell>
          <cell r="D447">
            <v>1.5</v>
          </cell>
        </row>
        <row r="448">
          <cell r="A448" t="str">
            <v>EGD-0447</v>
          </cell>
          <cell r="B448" t="str">
            <v>Philips Medical Systems</v>
          </cell>
          <cell r="C448" t="str">
            <v>Ingenia</v>
          </cell>
          <cell r="D448">
            <v>3</v>
          </cell>
        </row>
        <row r="449">
          <cell r="A449" t="str">
            <v>EGD-0448</v>
          </cell>
          <cell r="B449" t="str">
            <v>SIEMENS</v>
          </cell>
          <cell r="C449" t="str">
            <v>Harmony</v>
          </cell>
          <cell r="D449">
            <v>1</v>
          </cell>
        </row>
        <row r="450">
          <cell r="A450" t="str">
            <v>EGD-0449</v>
          </cell>
          <cell r="B450" t="str">
            <v>SIEMENS</v>
          </cell>
          <cell r="C450" t="str">
            <v>Symphony</v>
          </cell>
          <cell r="D450">
            <v>1.5</v>
          </cell>
        </row>
        <row r="451">
          <cell r="A451" t="str">
            <v>EGD-0450</v>
          </cell>
          <cell r="B451" t="str">
            <v>Philips Medical Systems</v>
          </cell>
          <cell r="C451" t="str">
            <v>Achieva</v>
          </cell>
          <cell r="D451">
            <v>1.5</v>
          </cell>
        </row>
        <row r="452">
          <cell r="A452" t="str">
            <v>EGD-0451</v>
          </cell>
          <cell r="B452" t="str">
            <v>Philips Medical Systems</v>
          </cell>
          <cell r="C452" t="str">
            <v>Achieva</v>
          </cell>
          <cell r="D452">
            <v>1.5</v>
          </cell>
        </row>
        <row r="453">
          <cell r="A453" t="str">
            <v>EGD-0452</v>
          </cell>
          <cell r="B453" t="str">
            <v>Philips Medical Systems</v>
          </cell>
          <cell r="C453" t="str">
            <v>Intera</v>
          </cell>
          <cell r="D453">
            <v>1.5</v>
          </cell>
        </row>
        <row r="454">
          <cell r="A454" t="str">
            <v>EGD-0453</v>
          </cell>
          <cell r="B454" t="str">
            <v>Philips Medical Systems</v>
          </cell>
          <cell r="C454" t="str">
            <v>Achieva</v>
          </cell>
          <cell r="D454">
            <v>3</v>
          </cell>
        </row>
        <row r="455">
          <cell r="A455" t="str">
            <v>EGD-0454</v>
          </cell>
          <cell r="B455" t="str">
            <v>SIEMENS</v>
          </cell>
          <cell r="C455" t="str">
            <v>Skyra</v>
          </cell>
          <cell r="D455">
            <v>3</v>
          </cell>
        </row>
        <row r="456">
          <cell r="A456" t="str">
            <v>EGD-0455</v>
          </cell>
          <cell r="B456" t="str">
            <v>Philips Medical Systems</v>
          </cell>
          <cell r="C456" t="str">
            <v>Achieva dStream</v>
          </cell>
          <cell r="D456">
            <v>1.5</v>
          </cell>
        </row>
        <row r="457">
          <cell r="A457" t="str">
            <v>EGD-0456</v>
          </cell>
          <cell r="B457" t="str">
            <v>SIEMENS</v>
          </cell>
          <cell r="C457" t="str">
            <v>Avanto</v>
          </cell>
          <cell r="D457">
            <v>1.5</v>
          </cell>
        </row>
        <row r="458">
          <cell r="A458" t="str">
            <v>EGD-0457</v>
          </cell>
          <cell r="B458" t="str">
            <v>SIEMENS</v>
          </cell>
          <cell r="C458" t="str">
            <v>Avanto</v>
          </cell>
          <cell r="D458">
            <v>1.5</v>
          </cell>
        </row>
        <row r="459">
          <cell r="A459" t="str">
            <v>EGD-0458</v>
          </cell>
          <cell r="B459" t="str">
            <v>Philips Medical Systems</v>
          </cell>
          <cell r="C459" t="str">
            <v>Intera</v>
          </cell>
          <cell r="D459">
            <v>1.5</v>
          </cell>
        </row>
        <row r="460">
          <cell r="A460" t="str">
            <v>EGD-0459</v>
          </cell>
          <cell r="B460" t="str">
            <v>SIEMENS</v>
          </cell>
          <cell r="C460" t="str">
            <v>Symphony</v>
          </cell>
          <cell r="D460">
            <v>1.5</v>
          </cell>
        </row>
        <row r="461">
          <cell r="A461" t="str">
            <v>EGD-0460</v>
          </cell>
          <cell r="B461" t="str">
            <v>Philips Healthcare</v>
          </cell>
          <cell r="C461" t="str">
            <v>Ingenia</v>
          </cell>
          <cell r="D461">
            <v>3</v>
          </cell>
        </row>
        <row r="462">
          <cell r="A462" t="str">
            <v>EGD-0461</v>
          </cell>
          <cell r="B462" t="str">
            <v>SIEMENS</v>
          </cell>
          <cell r="C462" t="str">
            <v>Avanto</v>
          </cell>
          <cell r="D462">
            <v>1.5</v>
          </cell>
        </row>
        <row r="463">
          <cell r="A463" t="str">
            <v>EGD-0462</v>
          </cell>
          <cell r="B463" t="str">
            <v>Philips Medical Systems</v>
          </cell>
          <cell r="C463" t="str">
            <v>NT Intera</v>
          </cell>
          <cell r="D463">
            <v>1.5</v>
          </cell>
        </row>
        <row r="464">
          <cell r="A464" t="str">
            <v>EGD-0463</v>
          </cell>
          <cell r="B464" t="str">
            <v>SIEMENS</v>
          </cell>
          <cell r="C464" t="str">
            <v>Avanto</v>
          </cell>
          <cell r="D464">
            <v>1.5</v>
          </cell>
        </row>
        <row r="465">
          <cell r="A465" t="str">
            <v>EGD-0464</v>
          </cell>
          <cell r="B465" t="str">
            <v>SIEMENS</v>
          </cell>
          <cell r="C465" t="str">
            <v>Skyra</v>
          </cell>
          <cell r="D465">
            <v>3</v>
          </cell>
        </row>
        <row r="466">
          <cell r="A466" t="str">
            <v>EGD-0465</v>
          </cell>
          <cell r="B466" t="str">
            <v>Philips Medical Systems</v>
          </cell>
          <cell r="C466" t="str">
            <v>Achieva</v>
          </cell>
          <cell r="D466">
            <v>1.5</v>
          </cell>
        </row>
        <row r="467">
          <cell r="A467" t="str">
            <v>EGD-0466</v>
          </cell>
          <cell r="B467" t="str">
            <v>GE MEDICAL SYSTEMS</v>
          </cell>
          <cell r="C467" t="str">
            <v>GENESIS_SIGNA</v>
          </cell>
          <cell r="D467">
            <v>1</v>
          </cell>
        </row>
        <row r="468">
          <cell r="A468" t="str">
            <v>EGD-0467</v>
          </cell>
          <cell r="B468" t="str">
            <v>SIEMENS</v>
          </cell>
          <cell r="C468" t="str">
            <v>Symphony</v>
          </cell>
          <cell r="D468">
            <v>1.5</v>
          </cell>
        </row>
        <row r="469">
          <cell r="A469" t="str">
            <v>EGD-0468</v>
          </cell>
          <cell r="B469" t="str">
            <v>Philips Medical Systems</v>
          </cell>
          <cell r="C469" t="str">
            <v>Achieva</v>
          </cell>
          <cell r="D469">
            <v>1.5</v>
          </cell>
        </row>
        <row r="470">
          <cell r="A470" t="str">
            <v>EGD-0469</v>
          </cell>
          <cell r="B470" t="str">
            <v>SIEMENS</v>
          </cell>
          <cell r="C470" t="str">
            <v>Harmony</v>
          </cell>
          <cell r="D470">
            <v>1</v>
          </cell>
        </row>
        <row r="471">
          <cell r="A471" t="str">
            <v>EGD-0470</v>
          </cell>
          <cell r="B471" t="str">
            <v>Philips Medical Systems</v>
          </cell>
          <cell r="C471" t="str">
            <v>Achieva dStream</v>
          </cell>
          <cell r="D471">
            <v>1.5</v>
          </cell>
        </row>
        <row r="472">
          <cell r="A472" t="str">
            <v>EGD-0471</v>
          </cell>
          <cell r="B472" t="str">
            <v>SIEMENS</v>
          </cell>
          <cell r="C472" t="str">
            <v>MAGNETOM_ESSENZA</v>
          </cell>
          <cell r="D472">
            <v>1.5</v>
          </cell>
        </row>
        <row r="473">
          <cell r="A473" t="str">
            <v>EGD-0472</v>
          </cell>
          <cell r="B473" t="str">
            <v>GE MEDICAL SYSTEMS</v>
          </cell>
          <cell r="C473" t="str">
            <v>Signa HDxt</v>
          </cell>
          <cell r="D473">
            <v>1.5</v>
          </cell>
        </row>
        <row r="474">
          <cell r="A474" t="str">
            <v>EGD-0473</v>
          </cell>
          <cell r="B474" t="str">
            <v>SIEMENS</v>
          </cell>
          <cell r="C474" t="str">
            <v>Avanto</v>
          </cell>
          <cell r="D474">
            <v>1.5</v>
          </cell>
        </row>
        <row r="475">
          <cell r="A475" t="str">
            <v>EGD-0474</v>
          </cell>
          <cell r="B475" t="str">
            <v>SIEMENS</v>
          </cell>
          <cell r="C475" t="str">
            <v>Sonata</v>
          </cell>
          <cell r="D475">
            <v>1.5</v>
          </cell>
        </row>
        <row r="476">
          <cell r="A476" t="str">
            <v>EGD-0475</v>
          </cell>
          <cell r="B476" t="str">
            <v>Philips Medical Systems</v>
          </cell>
          <cell r="C476" t="str">
            <v>Intera</v>
          </cell>
          <cell r="D476">
            <v>1</v>
          </cell>
        </row>
        <row r="477">
          <cell r="A477" t="str">
            <v>EGD-0476</v>
          </cell>
          <cell r="B477" t="str">
            <v>Philips Medical Systems</v>
          </cell>
          <cell r="C477" t="str">
            <v>Achieva</v>
          </cell>
          <cell r="D477">
            <v>1.5</v>
          </cell>
        </row>
        <row r="478">
          <cell r="A478" t="str">
            <v>EGD-0477</v>
          </cell>
          <cell r="B478" t="str">
            <v>SIEMENS</v>
          </cell>
          <cell r="C478" t="str">
            <v>Harmony</v>
          </cell>
          <cell r="D478">
            <v>1</v>
          </cell>
        </row>
        <row r="479">
          <cell r="A479" t="str">
            <v>EGD-0478</v>
          </cell>
          <cell r="B479" t="str">
            <v>SIEMENS</v>
          </cell>
          <cell r="C479" t="str">
            <v>Aera</v>
          </cell>
          <cell r="D479">
            <v>1.5</v>
          </cell>
        </row>
        <row r="480">
          <cell r="A480" t="str">
            <v>EGD-0479</v>
          </cell>
          <cell r="B480" t="str">
            <v>SIEMENS</v>
          </cell>
          <cell r="C480" t="str">
            <v>MAGNETOM_ESSENZA</v>
          </cell>
          <cell r="D480">
            <v>1.5</v>
          </cell>
        </row>
        <row r="481">
          <cell r="A481" t="str">
            <v>EGD-0480</v>
          </cell>
          <cell r="B481" t="str">
            <v>SIEMENS</v>
          </cell>
          <cell r="C481" t="str">
            <v>Avanto</v>
          </cell>
          <cell r="D481">
            <v>1.5</v>
          </cell>
        </row>
        <row r="482">
          <cell r="A482" t="str">
            <v>EGD-0481</v>
          </cell>
          <cell r="B482" t="str">
            <v>GE MEDICAL SYSTEMS</v>
          </cell>
          <cell r="C482" t="str">
            <v>GENESIS_SIGNA</v>
          </cell>
          <cell r="D482">
            <v>1.5</v>
          </cell>
        </row>
        <row r="483">
          <cell r="A483" t="str">
            <v>EGD-0482</v>
          </cell>
          <cell r="B483" t="str">
            <v>Philips Healthcare</v>
          </cell>
          <cell r="C483" t="str">
            <v>Ingenia</v>
          </cell>
          <cell r="D483">
            <v>3</v>
          </cell>
        </row>
        <row r="484">
          <cell r="A484" t="str">
            <v>EGD-0483</v>
          </cell>
          <cell r="B484" t="str">
            <v>SIEMENS</v>
          </cell>
          <cell r="C484" t="str">
            <v>Avanto</v>
          </cell>
          <cell r="D484">
            <v>1.5</v>
          </cell>
        </row>
        <row r="485">
          <cell r="A485" t="str">
            <v>EGD-0484</v>
          </cell>
          <cell r="B485" t="str">
            <v>GE MEDICAL SYSTEMS</v>
          </cell>
          <cell r="C485" t="str">
            <v>SIGNA Artist</v>
          </cell>
          <cell r="D485">
            <v>1.5</v>
          </cell>
        </row>
        <row r="486">
          <cell r="A486" t="str">
            <v>EGD-0485</v>
          </cell>
          <cell r="B486" t="str">
            <v>GE MEDICAL SYSTEMS</v>
          </cell>
          <cell r="C486" t="str">
            <v>DISCOVERY MR450</v>
          </cell>
          <cell r="D486">
            <v>1.5</v>
          </cell>
        </row>
        <row r="487">
          <cell r="A487" t="str">
            <v>EGD-0486</v>
          </cell>
          <cell r="B487" t="str">
            <v>SIEMENS</v>
          </cell>
          <cell r="C487" t="str">
            <v>Aera</v>
          </cell>
          <cell r="D487">
            <v>1.5</v>
          </cell>
        </row>
        <row r="488">
          <cell r="A488" t="str">
            <v>EGD-0487</v>
          </cell>
          <cell r="B488" t="str">
            <v>Philips Medical Systems</v>
          </cell>
          <cell r="C488" t="str">
            <v>Achieva</v>
          </cell>
          <cell r="D488">
            <v>1.5</v>
          </cell>
        </row>
        <row r="489">
          <cell r="A489" t="str">
            <v>EGD-0488</v>
          </cell>
          <cell r="B489" t="str">
            <v>SIEMENS</v>
          </cell>
          <cell r="C489" t="str">
            <v>Aera</v>
          </cell>
          <cell r="D489">
            <v>1.5</v>
          </cell>
        </row>
        <row r="490">
          <cell r="A490" t="str">
            <v>EGD-0489</v>
          </cell>
          <cell r="B490" t="str">
            <v>SIEMENS</v>
          </cell>
          <cell r="C490" t="str">
            <v>MAGNETOM EXPERT</v>
          </cell>
          <cell r="D490">
            <v>1</v>
          </cell>
        </row>
        <row r="491">
          <cell r="A491" t="str">
            <v>EGD-0490</v>
          </cell>
          <cell r="B491" t="str">
            <v>Philips Medical Systems</v>
          </cell>
          <cell r="C491" t="str">
            <v>Achieva</v>
          </cell>
          <cell r="D491">
            <v>1.5</v>
          </cell>
        </row>
        <row r="492">
          <cell r="A492" t="str">
            <v>EGD-0491</v>
          </cell>
          <cell r="B492" t="str">
            <v>SIEMENS</v>
          </cell>
          <cell r="C492" t="str">
            <v>Harmony</v>
          </cell>
          <cell r="D492">
            <v>1</v>
          </cell>
        </row>
        <row r="493">
          <cell r="A493" t="str">
            <v>EGD-0492</v>
          </cell>
          <cell r="B493" t="str">
            <v>Philips Medical Systems</v>
          </cell>
          <cell r="C493" t="str">
            <v>NT Intera</v>
          </cell>
          <cell r="D493">
            <v>1.5</v>
          </cell>
        </row>
        <row r="494">
          <cell r="A494" t="str">
            <v>EGD-0493</v>
          </cell>
          <cell r="B494" t="str">
            <v>GE MEDICAL SYSTEMS</v>
          </cell>
          <cell r="C494" t="str">
            <v>DISCOVERY MR750</v>
          </cell>
          <cell r="D494">
            <v>3</v>
          </cell>
        </row>
        <row r="495">
          <cell r="A495" t="str">
            <v>EGD-0494</v>
          </cell>
          <cell r="B495" t="str">
            <v>Philips Medical Systems</v>
          </cell>
          <cell r="C495" t="str">
            <v>Achieva</v>
          </cell>
          <cell r="D495">
            <v>1.5</v>
          </cell>
        </row>
        <row r="496">
          <cell r="A496" t="str">
            <v>EGD-0495</v>
          </cell>
          <cell r="B496" t="str">
            <v>Philips Medical Systems</v>
          </cell>
          <cell r="C496" t="str">
            <v>Intera</v>
          </cell>
          <cell r="D496">
            <v>1.5</v>
          </cell>
        </row>
        <row r="497">
          <cell r="A497" t="str">
            <v>EGD-0496</v>
          </cell>
          <cell r="B497" t="str">
            <v>GE MEDICAL SYSTEMS</v>
          </cell>
          <cell r="C497" t="str">
            <v>Optima MR450w</v>
          </cell>
          <cell r="D497">
            <v>1.5</v>
          </cell>
        </row>
        <row r="498">
          <cell r="A498" t="str">
            <v>EGD-0497</v>
          </cell>
          <cell r="B498" t="str">
            <v>Philips Medical Systems</v>
          </cell>
          <cell r="C498" t="str">
            <v>Intera</v>
          </cell>
          <cell r="D498">
            <v>1</v>
          </cell>
        </row>
        <row r="499">
          <cell r="A499" t="str">
            <v>EGD-0498</v>
          </cell>
          <cell r="B499" t="str">
            <v>GE MEDICAL SYSTEMS</v>
          </cell>
          <cell r="C499" t="str">
            <v>GENESIS_SIGNA</v>
          </cell>
          <cell r="D499">
            <v>1</v>
          </cell>
        </row>
        <row r="500">
          <cell r="A500" t="str">
            <v>EGD-0499</v>
          </cell>
          <cell r="B500" t="str">
            <v>SIEMENS</v>
          </cell>
          <cell r="C500" t="str">
            <v>Symphony</v>
          </cell>
          <cell r="D500">
            <v>1.5</v>
          </cell>
        </row>
        <row r="501">
          <cell r="A501" t="str">
            <v>EGD-0500</v>
          </cell>
          <cell r="B501" t="str">
            <v>SIEMENS</v>
          </cell>
          <cell r="C501" t="str">
            <v>MAGNETOM EXPERT</v>
          </cell>
          <cell r="D501">
            <v>1</v>
          </cell>
        </row>
        <row r="502">
          <cell r="A502" t="str">
            <v>EGD-0501</v>
          </cell>
          <cell r="B502" t="str">
            <v>SIEMENS</v>
          </cell>
          <cell r="C502" t="str">
            <v>MAGNETOM_ESSENZA</v>
          </cell>
          <cell r="D502">
            <v>1.5</v>
          </cell>
        </row>
        <row r="503">
          <cell r="A503" t="str">
            <v>EGD-0502</v>
          </cell>
          <cell r="B503" t="str">
            <v>SIEMENS</v>
          </cell>
          <cell r="C503" t="str">
            <v>Aera</v>
          </cell>
          <cell r="D503">
            <v>1.5</v>
          </cell>
        </row>
        <row r="504">
          <cell r="A504" t="str">
            <v>EGD-0503</v>
          </cell>
          <cell r="B504" t="str">
            <v>SIEMENS</v>
          </cell>
          <cell r="C504" t="str">
            <v>Symphony</v>
          </cell>
          <cell r="D504">
            <v>1.5</v>
          </cell>
        </row>
        <row r="505">
          <cell r="A505" t="str">
            <v>EGD-0504</v>
          </cell>
          <cell r="B505" t="str">
            <v>Philips Medical Systems</v>
          </cell>
          <cell r="C505" t="str">
            <v>Intera</v>
          </cell>
          <cell r="D505">
            <v>1.5</v>
          </cell>
        </row>
        <row r="506">
          <cell r="A506" t="str">
            <v>EGD-0505</v>
          </cell>
          <cell r="B506" t="str">
            <v>GE MEDICAL SYSTEMS</v>
          </cell>
          <cell r="C506" t="str">
            <v>DISCOVERY MR450</v>
          </cell>
          <cell r="D506">
            <v>1.5</v>
          </cell>
        </row>
        <row r="507">
          <cell r="A507" t="str">
            <v>EGD-0506</v>
          </cell>
          <cell r="B507" t="str">
            <v>SIEMENS</v>
          </cell>
          <cell r="C507" t="str">
            <v>Skyra</v>
          </cell>
          <cell r="D507">
            <v>3</v>
          </cell>
        </row>
        <row r="508">
          <cell r="A508" t="str">
            <v>EGD-0507</v>
          </cell>
          <cell r="B508" t="str">
            <v>Philips Medical Systems</v>
          </cell>
          <cell r="C508" t="str">
            <v>Intera</v>
          </cell>
          <cell r="D508">
            <v>1.5</v>
          </cell>
        </row>
        <row r="509">
          <cell r="A509" t="str">
            <v>EGD-0508</v>
          </cell>
          <cell r="B509" t="str">
            <v>SIEMENS</v>
          </cell>
          <cell r="C509" t="str">
            <v>Aera</v>
          </cell>
          <cell r="D509">
            <v>1.5</v>
          </cell>
        </row>
        <row r="510">
          <cell r="A510" t="str">
            <v>EGD-0509</v>
          </cell>
          <cell r="B510" t="str">
            <v>SIEMENS</v>
          </cell>
          <cell r="C510" t="str">
            <v>Sonata</v>
          </cell>
          <cell r="D510">
            <v>1.5</v>
          </cell>
        </row>
        <row r="511">
          <cell r="A511" t="str">
            <v>EGD-0510</v>
          </cell>
          <cell r="B511" t="str">
            <v>SIEMENS</v>
          </cell>
          <cell r="C511" t="str">
            <v>Avanto</v>
          </cell>
          <cell r="D511">
            <v>1.5</v>
          </cell>
        </row>
        <row r="512">
          <cell r="A512" t="str">
            <v>EGD-0511</v>
          </cell>
          <cell r="B512" t="str">
            <v>Philips Medical Systems</v>
          </cell>
          <cell r="C512" t="str">
            <v>Achieva</v>
          </cell>
          <cell r="D512">
            <v>1.5</v>
          </cell>
        </row>
        <row r="513">
          <cell r="A513" t="str">
            <v>EGD-0512</v>
          </cell>
          <cell r="B513" t="str">
            <v>GE MEDICAL SYSTEMS</v>
          </cell>
          <cell r="C513" t="str">
            <v>DISCOVERY MR450</v>
          </cell>
          <cell r="D513">
            <v>1.5</v>
          </cell>
        </row>
        <row r="514">
          <cell r="A514" t="str">
            <v>EGD-0513</v>
          </cell>
          <cell r="B514" t="str">
            <v>SIEMENS</v>
          </cell>
          <cell r="C514" t="str">
            <v>Skyra</v>
          </cell>
          <cell r="D514">
            <v>3</v>
          </cell>
        </row>
        <row r="515">
          <cell r="A515" t="str">
            <v>EGD-0514</v>
          </cell>
          <cell r="B515" t="str">
            <v>Philips Medical Systems</v>
          </cell>
          <cell r="C515" t="str">
            <v>Achieva</v>
          </cell>
          <cell r="D515">
            <v>1.5</v>
          </cell>
        </row>
        <row r="516">
          <cell r="A516" t="str">
            <v>EGD-0515</v>
          </cell>
          <cell r="B516" t="str">
            <v>Philips Medical Systems</v>
          </cell>
          <cell r="C516" t="str">
            <v>Achieva</v>
          </cell>
          <cell r="D516">
            <v>1.5</v>
          </cell>
        </row>
        <row r="517">
          <cell r="A517" t="str">
            <v>EGD-0516</v>
          </cell>
          <cell r="B517" t="str">
            <v>Philips Medical Systems</v>
          </cell>
          <cell r="C517" t="str">
            <v>Achieva</v>
          </cell>
          <cell r="D517">
            <v>1.5</v>
          </cell>
        </row>
        <row r="518">
          <cell r="A518" t="str">
            <v>EGD-0517</v>
          </cell>
          <cell r="B518" t="str">
            <v>Philips Medical Systems</v>
          </cell>
          <cell r="C518" t="str">
            <v>Achieva</v>
          </cell>
          <cell r="D518">
            <v>1.5</v>
          </cell>
        </row>
        <row r="519">
          <cell r="A519" t="str">
            <v>EGD-0518</v>
          </cell>
          <cell r="B519" t="str">
            <v>GE MEDICAL SYSTEMS</v>
          </cell>
          <cell r="C519" t="str">
            <v>DISCOVERY MR750</v>
          </cell>
          <cell r="D519">
            <v>3</v>
          </cell>
        </row>
        <row r="520">
          <cell r="A520" t="str">
            <v>EGD-0519</v>
          </cell>
          <cell r="B520" t="str">
            <v>SIEMENS</v>
          </cell>
          <cell r="C520" t="str">
            <v>Harmony</v>
          </cell>
          <cell r="D520">
            <v>1</v>
          </cell>
        </row>
        <row r="521">
          <cell r="A521" t="str">
            <v>EGD-0520</v>
          </cell>
          <cell r="B521" t="str">
            <v>SIEMENS</v>
          </cell>
          <cell r="C521" t="str">
            <v>Symphony</v>
          </cell>
          <cell r="D521">
            <v>1.5</v>
          </cell>
        </row>
        <row r="522">
          <cell r="A522" t="str">
            <v>EGD-0521</v>
          </cell>
          <cell r="B522" t="str">
            <v>Philips Medical Systems</v>
          </cell>
          <cell r="C522" t="str">
            <v>Achieva</v>
          </cell>
          <cell r="D522">
            <v>1.5</v>
          </cell>
        </row>
        <row r="523">
          <cell r="A523" t="str">
            <v>EGD-0522</v>
          </cell>
          <cell r="B523" t="str">
            <v>SIEMENS</v>
          </cell>
          <cell r="C523" t="str">
            <v>Aera</v>
          </cell>
          <cell r="D523">
            <v>1.5</v>
          </cell>
        </row>
        <row r="524">
          <cell r="A524" t="str">
            <v>EGD-0523</v>
          </cell>
          <cell r="B524" t="str">
            <v>Philips Medical Systems</v>
          </cell>
          <cell r="C524" t="str">
            <v>Ingenia</v>
          </cell>
          <cell r="D524">
            <v>3</v>
          </cell>
        </row>
        <row r="525">
          <cell r="A525" t="str">
            <v>EGD-0524</v>
          </cell>
          <cell r="B525" t="str">
            <v>Philips Medical Systems</v>
          </cell>
          <cell r="C525" t="str">
            <v>Achieva</v>
          </cell>
          <cell r="D525">
            <v>1.5</v>
          </cell>
        </row>
        <row r="526">
          <cell r="A526" t="str">
            <v>EGD-0525</v>
          </cell>
          <cell r="B526" t="str">
            <v>SIEMENS</v>
          </cell>
          <cell r="C526" t="str">
            <v>Symphony</v>
          </cell>
          <cell r="D526">
            <v>1.5</v>
          </cell>
        </row>
        <row r="527">
          <cell r="A527" t="str">
            <v>EGD-0526</v>
          </cell>
          <cell r="B527" t="str">
            <v>SIEMENS</v>
          </cell>
          <cell r="C527" t="str">
            <v>MAGNETOM_ESSENZA</v>
          </cell>
          <cell r="D527">
            <v>1.5</v>
          </cell>
        </row>
        <row r="528">
          <cell r="A528" t="str">
            <v>EGD-0527</v>
          </cell>
          <cell r="B528" t="str">
            <v>Philips Medical Systems</v>
          </cell>
          <cell r="C528" t="str">
            <v>Achieva</v>
          </cell>
          <cell r="D528">
            <v>1.5</v>
          </cell>
        </row>
        <row r="529">
          <cell r="A529" t="str">
            <v>EGD-0528</v>
          </cell>
          <cell r="B529" t="str">
            <v>SIEMENS</v>
          </cell>
          <cell r="C529" t="str">
            <v>Harmony</v>
          </cell>
          <cell r="D529">
            <v>1</v>
          </cell>
        </row>
        <row r="530">
          <cell r="A530" t="str">
            <v>EGD-0529</v>
          </cell>
          <cell r="B530" t="str">
            <v>Philips Medical Systems</v>
          </cell>
          <cell r="C530" t="str">
            <v>Achieva dStream</v>
          </cell>
          <cell r="D530">
            <v>1.5</v>
          </cell>
        </row>
        <row r="531">
          <cell r="A531" t="str">
            <v>EGD-0530</v>
          </cell>
          <cell r="B531" t="str">
            <v>SIEMENS</v>
          </cell>
          <cell r="C531" t="str">
            <v>Avanto</v>
          </cell>
          <cell r="D531">
            <v>1.5</v>
          </cell>
        </row>
        <row r="532">
          <cell r="A532" t="str">
            <v>EGD-0531</v>
          </cell>
          <cell r="B532" t="str">
            <v>Philips Medical Systems</v>
          </cell>
          <cell r="C532" t="str">
            <v>Achieva dStream</v>
          </cell>
          <cell r="D532">
            <v>1.5</v>
          </cell>
        </row>
        <row r="533">
          <cell r="A533" t="str">
            <v>EGD-0532</v>
          </cell>
          <cell r="B533" t="str">
            <v>SIEMENS</v>
          </cell>
          <cell r="C533" t="str">
            <v>Symphony</v>
          </cell>
          <cell r="D533">
            <v>1.5</v>
          </cell>
        </row>
        <row r="534">
          <cell r="A534" t="str">
            <v>EGD-0533</v>
          </cell>
          <cell r="B534" t="str">
            <v>SIEMENS</v>
          </cell>
          <cell r="C534" t="str">
            <v>Harmony</v>
          </cell>
          <cell r="D534">
            <v>1</v>
          </cell>
        </row>
        <row r="535">
          <cell r="A535" t="str">
            <v>EGD-0534</v>
          </cell>
          <cell r="B535" t="str">
            <v>Philips Medical Systems</v>
          </cell>
          <cell r="C535" t="str">
            <v>Achieva</v>
          </cell>
          <cell r="D535">
            <v>1.5</v>
          </cell>
        </row>
        <row r="536">
          <cell r="A536" t="str">
            <v>EGD-0535</v>
          </cell>
          <cell r="B536" t="str">
            <v>GE MEDICAL SYSTEMS</v>
          </cell>
          <cell r="C536" t="str">
            <v>DISCOVERY MR450</v>
          </cell>
          <cell r="D536">
            <v>1.5</v>
          </cell>
        </row>
        <row r="537">
          <cell r="A537" t="str">
            <v>EGD-0536</v>
          </cell>
          <cell r="B537" t="str">
            <v>GE MEDICAL SYSTEMS</v>
          </cell>
          <cell r="C537" t="str">
            <v>GENESIS_SIGNA</v>
          </cell>
          <cell r="D537">
            <v>1</v>
          </cell>
        </row>
        <row r="538">
          <cell r="A538" t="str">
            <v>EGD-0537</v>
          </cell>
          <cell r="B538" t="str">
            <v>Philips Medical Systems</v>
          </cell>
          <cell r="C538" t="str">
            <v>Achieva</v>
          </cell>
          <cell r="D538">
            <v>1.5</v>
          </cell>
        </row>
        <row r="539">
          <cell r="A539" t="str">
            <v>EGD-0538</v>
          </cell>
          <cell r="B539" t="str">
            <v>Philips Medical Systems</v>
          </cell>
          <cell r="C539" t="str">
            <v>Achieva</v>
          </cell>
          <cell r="D539">
            <v>1.5</v>
          </cell>
        </row>
        <row r="540">
          <cell r="A540" t="str">
            <v>EGD-0539</v>
          </cell>
          <cell r="B540" t="str">
            <v>Philips Medical Systems</v>
          </cell>
          <cell r="C540" t="str">
            <v>Achieva</v>
          </cell>
          <cell r="D540">
            <v>1.5</v>
          </cell>
        </row>
        <row r="541">
          <cell r="A541" t="str">
            <v>EGD-0540</v>
          </cell>
          <cell r="B541" t="str">
            <v>SIEMENS</v>
          </cell>
          <cell r="C541" t="str">
            <v>Avanto</v>
          </cell>
          <cell r="D541">
            <v>1.5</v>
          </cell>
        </row>
        <row r="542">
          <cell r="A542" t="str">
            <v>EGD-0541</v>
          </cell>
          <cell r="B542" t="str">
            <v>SIEMENS</v>
          </cell>
          <cell r="C542" t="str">
            <v>Avanto</v>
          </cell>
          <cell r="D542">
            <v>1.5</v>
          </cell>
        </row>
        <row r="543">
          <cell r="A543" t="str">
            <v>EGD-0542</v>
          </cell>
          <cell r="B543" t="str">
            <v>SIEMENS</v>
          </cell>
          <cell r="C543" t="str">
            <v>Avanto</v>
          </cell>
          <cell r="D543">
            <v>1.5</v>
          </cell>
        </row>
        <row r="544">
          <cell r="A544" t="str">
            <v>EGD-0543</v>
          </cell>
          <cell r="B544" t="str">
            <v>SIEMENS</v>
          </cell>
          <cell r="C544" t="str">
            <v>Symphony</v>
          </cell>
          <cell r="D544">
            <v>1.5</v>
          </cell>
        </row>
        <row r="545">
          <cell r="A545" t="str">
            <v>EGD-0544</v>
          </cell>
          <cell r="B545" t="str">
            <v>SIEMENS</v>
          </cell>
          <cell r="C545" t="str">
            <v>Symphony</v>
          </cell>
          <cell r="D545">
            <v>1.5</v>
          </cell>
        </row>
        <row r="546">
          <cell r="A546" t="str">
            <v>EGD-0545</v>
          </cell>
          <cell r="B546" t="str">
            <v>SIEMENS</v>
          </cell>
          <cell r="C546" t="str">
            <v>Avanto</v>
          </cell>
          <cell r="D546">
            <v>1.5</v>
          </cell>
        </row>
        <row r="547">
          <cell r="A547" t="str">
            <v>EGD-0546</v>
          </cell>
          <cell r="B547" t="str">
            <v>Philips Medical Systems</v>
          </cell>
          <cell r="C547" t="str">
            <v>Intera</v>
          </cell>
          <cell r="D547">
            <v>1.5</v>
          </cell>
        </row>
        <row r="548">
          <cell r="A548" t="str">
            <v>EGD-0547</v>
          </cell>
          <cell r="B548" t="str">
            <v>SIEMENS</v>
          </cell>
          <cell r="C548" t="str">
            <v>Aera</v>
          </cell>
          <cell r="D548">
            <v>1.5</v>
          </cell>
        </row>
        <row r="549">
          <cell r="A549" t="str">
            <v>EGD-0548</v>
          </cell>
          <cell r="B549" t="str">
            <v>SIEMENS</v>
          </cell>
          <cell r="C549" t="str">
            <v>Aera</v>
          </cell>
          <cell r="D549">
            <v>1.5</v>
          </cell>
        </row>
        <row r="550">
          <cell r="A550" t="str">
            <v>EGD-0549</v>
          </cell>
          <cell r="B550" t="str">
            <v>Philips Healthcare</v>
          </cell>
          <cell r="C550" t="str">
            <v>Ingenia</v>
          </cell>
          <cell r="D550">
            <v>3</v>
          </cell>
        </row>
        <row r="551">
          <cell r="A551" t="str">
            <v>EGD-0550</v>
          </cell>
          <cell r="B551" t="str">
            <v>SIEMENS</v>
          </cell>
          <cell r="C551" t="str">
            <v>Symphony</v>
          </cell>
          <cell r="D551">
            <v>1.5</v>
          </cell>
        </row>
        <row r="552">
          <cell r="A552" t="str">
            <v>EGD-0551</v>
          </cell>
          <cell r="B552" t="str">
            <v>Philips Medical Systems</v>
          </cell>
          <cell r="C552" t="str">
            <v>Intera</v>
          </cell>
          <cell r="D552">
            <v>1.5</v>
          </cell>
        </row>
        <row r="553">
          <cell r="A553" t="str">
            <v>EGD-0552</v>
          </cell>
          <cell r="B553" t="str">
            <v>Philips Medical Systems</v>
          </cell>
          <cell r="C553" t="str">
            <v>Intera</v>
          </cell>
          <cell r="D553">
            <v>1.5</v>
          </cell>
        </row>
        <row r="554">
          <cell r="A554" t="str">
            <v>EGD-0553</v>
          </cell>
          <cell r="B554" t="str">
            <v>SIEMENS</v>
          </cell>
          <cell r="C554" t="str">
            <v>Symphony</v>
          </cell>
          <cell r="D554">
            <v>1.5</v>
          </cell>
        </row>
        <row r="555">
          <cell r="A555" t="str">
            <v>EGD-0554</v>
          </cell>
          <cell r="B555" t="str">
            <v>SIEMENS</v>
          </cell>
          <cell r="C555" t="str">
            <v>MAGNETOM EXPERT</v>
          </cell>
          <cell r="D555">
            <v>1</v>
          </cell>
        </row>
        <row r="556">
          <cell r="A556" t="str">
            <v>EGD-0555</v>
          </cell>
          <cell r="B556" t="str">
            <v>Philips Medical Systems</v>
          </cell>
          <cell r="C556" t="str">
            <v>Achieva</v>
          </cell>
          <cell r="D556">
            <v>1.5</v>
          </cell>
        </row>
        <row r="557">
          <cell r="A557" t="str">
            <v>EGD-0556</v>
          </cell>
          <cell r="B557" t="str">
            <v>Philips Medical Systems</v>
          </cell>
          <cell r="C557" t="str">
            <v>Intera</v>
          </cell>
          <cell r="D557">
            <v>1</v>
          </cell>
        </row>
        <row r="558">
          <cell r="A558" t="str">
            <v>EGD-0557</v>
          </cell>
          <cell r="B558" t="str">
            <v>Philips Medical Systems</v>
          </cell>
          <cell r="C558" t="str">
            <v>Achieva dStream</v>
          </cell>
          <cell r="D558">
            <v>1.5</v>
          </cell>
        </row>
        <row r="559">
          <cell r="A559" t="str">
            <v>EGD-0558</v>
          </cell>
          <cell r="B559" t="str">
            <v>SIEMENS</v>
          </cell>
          <cell r="C559" t="str">
            <v>Symphony</v>
          </cell>
          <cell r="D559">
            <v>1.5</v>
          </cell>
        </row>
        <row r="560">
          <cell r="A560" t="str">
            <v>EGD-0559</v>
          </cell>
          <cell r="B560" t="str">
            <v>SIEMENS</v>
          </cell>
          <cell r="C560" t="str">
            <v>Symphony</v>
          </cell>
          <cell r="D560">
            <v>1.5</v>
          </cell>
        </row>
        <row r="561">
          <cell r="A561" t="str">
            <v>EGD-0560</v>
          </cell>
          <cell r="B561" t="str">
            <v>Philips Medical Systems</v>
          </cell>
          <cell r="C561" t="str">
            <v>Achieva</v>
          </cell>
          <cell r="D561">
            <v>3</v>
          </cell>
        </row>
        <row r="562">
          <cell r="A562" t="str">
            <v>EGD-0561</v>
          </cell>
          <cell r="B562" t="str">
            <v>Philips Medical Systems</v>
          </cell>
          <cell r="C562" t="str">
            <v>Panorama</v>
          </cell>
          <cell r="D562">
            <v>1</v>
          </cell>
        </row>
        <row r="563">
          <cell r="A563" t="str">
            <v>EGD-0562</v>
          </cell>
          <cell r="B563" t="str">
            <v>SIEMENS</v>
          </cell>
          <cell r="C563" t="str">
            <v>Aera</v>
          </cell>
          <cell r="D563">
            <v>1.5</v>
          </cell>
        </row>
        <row r="564">
          <cell r="A564" t="str">
            <v>EGD-0563</v>
          </cell>
          <cell r="B564" t="str">
            <v>Philips Medical Systems</v>
          </cell>
          <cell r="C564" t="str">
            <v>Intera</v>
          </cell>
          <cell r="D564">
            <v>1.5</v>
          </cell>
        </row>
        <row r="565">
          <cell r="A565" t="str">
            <v>EGD-0564</v>
          </cell>
          <cell r="B565" t="str">
            <v>Philips Medical Systems</v>
          </cell>
          <cell r="C565" t="str">
            <v>Intera</v>
          </cell>
          <cell r="D565">
            <v>1.5</v>
          </cell>
        </row>
        <row r="566">
          <cell r="A566" t="str">
            <v>EGD-0565</v>
          </cell>
          <cell r="B566" t="str">
            <v>Philips Medical Systems</v>
          </cell>
          <cell r="C566" t="str">
            <v>Intera</v>
          </cell>
          <cell r="D566">
            <v>1.5</v>
          </cell>
        </row>
        <row r="567">
          <cell r="A567" t="str">
            <v>EGD-0566</v>
          </cell>
          <cell r="B567" t="str">
            <v>Philips Medical Systems</v>
          </cell>
          <cell r="C567" t="str">
            <v>Ingenia</v>
          </cell>
          <cell r="D567">
            <v>1.5</v>
          </cell>
        </row>
        <row r="568">
          <cell r="A568" t="str">
            <v>EGD-0567</v>
          </cell>
          <cell r="B568" t="str">
            <v>SIEMENS</v>
          </cell>
          <cell r="C568" t="str">
            <v>Aera</v>
          </cell>
          <cell r="D568">
            <v>1.5</v>
          </cell>
        </row>
        <row r="569">
          <cell r="A569" t="str">
            <v>EGD-0568</v>
          </cell>
          <cell r="B569" t="str">
            <v>GE MEDICAL SYSTEMS</v>
          </cell>
          <cell r="C569" t="str">
            <v>GENESIS_SIGNA</v>
          </cell>
          <cell r="D569">
            <v>1.5</v>
          </cell>
        </row>
        <row r="570">
          <cell r="A570" t="str">
            <v>EGD-0569</v>
          </cell>
          <cell r="B570" t="str">
            <v>Philips Medical Systems</v>
          </cell>
          <cell r="C570" t="str">
            <v>Intera</v>
          </cell>
          <cell r="D570">
            <v>1.5</v>
          </cell>
        </row>
        <row r="571">
          <cell r="A571" t="str">
            <v>EGD-0570</v>
          </cell>
          <cell r="B571" t="str">
            <v>SIEMENS</v>
          </cell>
          <cell r="C571" t="str">
            <v>Espree</v>
          </cell>
          <cell r="D571">
            <v>1.5</v>
          </cell>
        </row>
        <row r="572">
          <cell r="A572" t="str">
            <v>EGD-0571</v>
          </cell>
          <cell r="B572" t="str">
            <v>SIEMENS</v>
          </cell>
          <cell r="C572" t="str">
            <v>Avanto</v>
          </cell>
          <cell r="D572">
            <v>1.5</v>
          </cell>
        </row>
        <row r="573">
          <cell r="A573" t="str">
            <v>EGD-0572</v>
          </cell>
          <cell r="B573" t="str">
            <v>SIEMENS</v>
          </cell>
          <cell r="C573" t="str">
            <v>Sonata</v>
          </cell>
          <cell r="D573">
            <v>1.5</v>
          </cell>
        </row>
        <row r="574">
          <cell r="A574" t="str">
            <v>EGD-0573</v>
          </cell>
          <cell r="B574" t="str">
            <v>SIEMENS</v>
          </cell>
          <cell r="C574" t="str">
            <v>Avanto</v>
          </cell>
          <cell r="D574">
            <v>1.5</v>
          </cell>
        </row>
        <row r="575">
          <cell r="A575" t="str">
            <v>EGD-0574</v>
          </cell>
          <cell r="B575" t="str">
            <v>SIEMENS</v>
          </cell>
          <cell r="C575" t="str">
            <v>Harmony</v>
          </cell>
          <cell r="D575">
            <v>1</v>
          </cell>
        </row>
        <row r="576">
          <cell r="A576" t="str">
            <v>EGD-0575</v>
          </cell>
          <cell r="B576" t="str">
            <v>SIEMENS</v>
          </cell>
          <cell r="C576" t="str">
            <v>Symphony</v>
          </cell>
          <cell r="D576">
            <v>1.5</v>
          </cell>
        </row>
        <row r="577">
          <cell r="A577" t="str">
            <v>EGD-0576</v>
          </cell>
          <cell r="B577" t="str">
            <v>Philips Medical Systems</v>
          </cell>
          <cell r="C577" t="str">
            <v>Intera</v>
          </cell>
          <cell r="D577">
            <v>1.5</v>
          </cell>
        </row>
        <row r="578">
          <cell r="A578" t="str">
            <v>EGD-0577</v>
          </cell>
          <cell r="B578" t="str">
            <v>GE MEDICAL SYSTEMS</v>
          </cell>
          <cell r="C578" t="str">
            <v>SIGNA EXCITE</v>
          </cell>
          <cell r="D578">
            <v>1.5</v>
          </cell>
        </row>
        <row r="579">
          <cell r="A579" t="str">
            <v>EGD-0578</v>
          </cell>
          <cell r="B579" t="str">
            <v>SIEMENS</v>
          </cell>
          <cell r="C579" t="str">
            <v>MAGNETOM_ESSENZA</v>
          </cell>
          <cell r="D579">
            <v>1.5</v>
          </cell>
        </row>
        <row r="580">
          <cell r="A580" t="str">
            <v>EGD-0579</v>
          </cell>
          <cell r="B580" t="str">
            <v>SIEMENS</v>
          </cell>
          <cell r="C580" t="str">
            <v>Avanto</v>
          </cell>
          <cell r="D580">
            <v>1.5</v>
          </cell>
        </row>
        <row r="581">
          <cell r="A581" t="str">
            <v>EGD-0580</v>
          </cell>
          <cell r="B581" t="str">
            <v>SIEMENS</v>
          </cell>
          <cell r="C581" t="str">
            <v>MAGNETOM EXPERT</v>
          </cell>
          <cell r="D581">
            <v>1</v>
          </cell>
        </row>
        <row r="582">
          <cell r="A582" t="str">
            <v>EGD-0581</v>
          </cell>
          <cell r="B582" t="str">
            <v>SIEMENS</v>
          </cell>
          <cell r="C582" t="str">
            <v>Symphony</v>
          </cell>
          <cell r="D582">
            <v>1.5</v>
          </cell>
        </row>
        <row r="583">
          <cell r="A583" t="str">
            <v>EGD-0582</v>
          </cell>
          <cell r="B583" t="str">
            <v>GE MEDICAL SYSTEMS</v>
          </cell>
          <cell r="C583" t="str">
            <v>Signa HDxt</v>
          </cell>
          <cell r="D583">
            <v>1.5</v>
          </cell>
        </row>
        <row r="584">
          <cell r="A584" t="str">
            <v>EGD-0583</v>
          </cell>
          <cell r="B584" t="str">
            <v>SIEMENS</v>
          </cell>
          <cell r="C584" t="str">
            <v>Aera</v>
          </cell>
          <cell r="D584">
            <v>1.5</v>
          </cell>
        </row>
        <row r="585">
          <cell r="A585" t="str">
            <v>EGD-0584</v>
          </cell>
          <cell r="B585" t="str">
            <v>SIEMENS</v>
          </cell>
          <cell r="C585" t="str">
            <v>Avanto</v>
          </cell>
          <cell r="D585">
            <v>1.5</v>
          </cell>
        </row>
        <row r="586">
          <cell r="A586" t="str">
            <v>EGD-0585</v>
          </cell>
          <cell r="B586" t="str">
            <v>SIEMENS</v>
          </cell>
          <cell r="C586" t="str">
            <v>MAGNETOM_ESSENZA</v>
          </cell>
          <cell r="D586">
            <v>1.5</v>
          </cell>
        </row>
        <row r="587">
          <cell r="A587" t="str">
            <v>EGD-0586</v>
          </cell>
          <cell r="B587" t="str">
            <v>SIEMENS</v>
          </cell>
          <cell r="C587" t="str">
            <v>Harmony</v>
          </cell>
          <cell r="D587">
            <v>1</v>
          </cell>
        </row>
        <row r="588">
          <cell r="A588" t="str">
            <v>EGD-0587</v>
          </cell>
          <cell r="B588" t="str">
            <v>SIEMENS</v>
          </cell>
          <cell r="C588" t="str">
            <v>Harmony</v>
          </cell>
          <cell r="D588">
            <v>1</v>
          </cell>
        </row>
        <row r="589">
          <cell r="A589" t="str">
            <v>EGD-0588</v>
          </cell>
          <cell r="B589" t="str">
            <v>SIEMENS</v>
          </cell>
          <cell r="C589" t="str">
            <v>MAGNETOM_ESSENZA</v>
          </cell>
          <cell r="D589">
            <v>1.5</v>
          </cell>
        </row>
        <row r="590">
          <cell r="A590" t="str">
            <v>EGD-0589</v>
          </cell>
          <cell r="B590" t="str">
            <v>SIEMENS</v>
          </cell>
          <cell r="C590" t="str">
            <v>Aera</v>
          </cell>
          <cell r="D590">
            <v>1.5</v>
          </cell>
        </row>
        <row r="591">
          <cell r="A591" t="str">
            <v>EGD-0590</v>
          </cell>
          <cell r="B591" t="str">
            <v>SIEMENS</v>
          </cell>
          <cell r="C591" t="str">
            <v>Harmony</v>
          </cell>
          <cell r="D591">
            <v>1</v>
          </cell>
        </row>
        <row r="592">
          <cell r="A592" t="str">
            <v>EGD-0591</v>
          </cell>
          <cell r="B592" t="str">
            <v>SIEMENS</v>
          </cell>
          <cell r="C592" t="str">
            <v>Aera</v>
          </cell>
          <cell r="D592">
            <v>1.5</v>
          </cell>
        </row>
        <row r="593">
          <cell r="A593" t="str">
            <v>EGD-0592</v>
          </cell>
          <cell r="B593" t="str">
            <v>SIEMENS</v>
          </cell>
          <cell r="C593" t="str">
            <v>Harmony</v>
          </cell>
          <cell r="D593">
            <v>1</v>
          </cell>
        </row>
        <row r="594">
          <cell r="A594" t="str">
            <v>EGD-0593</v>
          </cell>
          <cell r="B594" t="str">
            <v>SIEMENS</v>
          </cell>
          <cell r="C594" t="str">
            <v>Aera</v>
          </cell>
          <cell r="D594">
            <v>1.5</v>
          </cell>
        </row>
        <row r="595">
          <cell r="A595" t="str">
            <v>EGD-0594</v>
          </cell>
          <cell r="B595" t="str">
            <v>GE MEDICAL SYSTEMS</v>
          </cell>
          <cell r="C595" t="str">
            <v>DISCOVERY MR750</v>
          </cell>
          <cell r="D595">
            <v>3</v>
          </cell>
        </row>
        <row r="596">
          <cell r="A596" t="str">
            <v>EGD-0595</v>
          </cell>
          <cell r="B596" t="str">
            <v>SIEMENS</v>
          </cell>
          <cell r="C596" t="str">
            <v>Aera</v>
          </cell>
          <cell r="D596">
            <v>1.5</v>
          </cell>
        </row>
        <row r="597">
          <cell r="A597" t="str">
            <v>EGD-0596</v>
          </cell>
          <cell r="B597" t="str">
            <v>Philips Medical Systems</v>
          </cell>
          <cell r="C597" t="str">
            <v>Achieva</v>
          </cell>
          <cell r="D597">
            <v>1.5</v>
          </cell>
        </row>
        <row r="598">
          <cell r="A598" t="str">
            <v>EGD-0597</v>
          </cell>
          <cell r="B598" t="str">
            <v>Philips Medical Systems</v>
          </cell>
          <cell r="C598" t="str">
            <v>Intera</v>
          </cell>
          <cell r="D598">
            <v>1.5</v>
          </cell>
        </row>
        <row r="599">
          <cell r="A599" t="str">
            <v>EGD-0598</v>
          </cell>
          <cell r="B599" t="str">
            <v>SIEMENS</v>
          </cell>
          <cell r="C599" t="str">
            <v>Avanto</v>
          </cell>
          <cell r="D599">
            <v>1.5</v>
          </cell>
        </row>
        <row r="600">
          <cell r="A600" t="str">
            <v>EGD-0599</v>
          </cell>
          <cell r="B600" t="str">
            <v>SIEMENS</v>
          </cell>
          <cell r="C600" t="str">
            <v>MAGNETOM_ESSENZA</v>
          </cell>
          <cell r="D600">
            <v>1.5</v>
          </cell>
        </row>
        <row r="601">
          <cell r="A601" t="str">
            <v>EGD-0600</v>
          </cell>
          <cell r="B601" t="str">
            <v>GE MEDICAL SYSTEMS</v>
          </cell>
          <cell r="C601" t="str">
            <v>DISCOVERY MR450</v>
          </cell>
          <cell r="D601">
            <v>1.5</v>
          </cell>
        </row>
        <row r="602">
          <cell r="A602" t="str">
            <v>EGD-0601</v>
          </cell>
          <cell r="B602" t="str">
            <v>GE MEDICAL SYSTEMS</v>
          </cell>
          <cell r="C602" t="str">
            <v>DISCOVERY MR450</v>
          </cell>
          <cell r="D602">
            <v>1.5</v>
          </cell>
        </row>
        <row r="603">
          <cell r="A603" t="str">
            <v>EGD-0602</v>
          </cell>
          <cell r="B603" t="str">
            <v>Philips Medical Systems</v>
          </cell>
          <cell r="C603" t="str">
            <v>Achieva</v>
          </cell>
          <cell r="D603">
            <v>1.5</v>
          </cell>
        </row>
        <row r="604">
          <cell r="A604" t="str">
            <v>EGD-0603</v>
          </cell>
          <cell r="B604" t="str">
            <v>SIEMENS</v>
          </cell>
          <cell r="C604" t="str">
            <v>Aera</v>
          </cell>
          <cell r="D604">
            <v>1.5</v>
          </cell>
        </row>
        <row r="605">
          <cell r="A605" t="str">
            <v>EGD-0604</v>
          </cell>
          <cell r="B605" t="str">
            <v>Philips Medical Systems</v>
          </cell>
          <cell r="C605" t="str">
            <v>Achieva</v>
          </cell>
          <cell r="D605">
            <v>1.5</v>
          </cell>
        </row>
        <row r="606">
          <cell r="A606" t="str">
            <v>EGD-0605</v>
          </cell>
          <cell r="B606" t="str">
            <v>SIEMENS</v>
          </cell>
          <cell r="C606" t="str">
            <v>Aera</v>
          </cell>
          <cell r="D606">
            <v>1.5</v>
          </cell>
        </row>
        <row r="607">
          <cell r="A607" t="str">
            <v>EGD-0606</v>
          </cell>
          <cell r="B607" t="str">
            <v>GE MEDICAL SYSTEMS</v>
          </cell>
          <cell r="C607" t="str">
            <v>DISCOVERY MR450</v>
          </cell>
          <cell r="D607">
            <v>1.5</v>
          </cell>
        </row>
        <row r="608">
          <cell r="A608" t="str">
            <v>EGD-0607</v>
          </cell>
          <cell r="B608" t="str">
            <v>SIEMENS</v>
          </cell>
          <cell r="C608" t="str">
            <v>Avanto</v>
          </cell>
          <cell r="D608">
            <v>1.5</v>
          </cell>
        </row>
        <row r="609">
          <cell r="A609" t="str">
            <v>EGD-0608</v>
          </cell>
          <cell r="B609" t="str">
            <v>GE MEDICAL SYSTEMS</v>
          </cell>
          <cell r="C609" t="str">
            <v>DISCOVERY MR750</v>
          </cell>
          <cell r="D609">
            <v>3</v>
          </cell>
        </row>
        <row r="610">
          <cell r="A610" t="str">
            <v>EGD-0609</v>
          </cell>
          <cell r="B610" t="str">
            <v>Philips Medical Systems</v>
          </cell>
          <cell r="C610" t="str">
            <v>Intera</v>
          </cell>
          <cell r="D610">
            <v>1.5</v>
          </cell>
        </row>
        <row r="611">
          <cell r="A611" t="str">
            <v>EGD-0610</v>
          </cell>
          <cell r="B611" t="str">
            <v>Philips Medical Systems</v>
          </cell>
          <cell r="C611" t="str">
            <v>NT Intera</v>
          </cell>
          <cell r="D611">
            <v>1.5</v>
          </cell>
        </row>
        <row r="612">
          <cell r="A612" t="str">
            <v>EGD-0611</v>
          </cell>
          <cell r="B612" t="str">
            <v>GE MEDICAL SYSTEMS</v>
          </cell>
          <cell r="C612" t="str">
            <v>Signa HDxt</v>
          </cell>
          <cell r="D612">
            <v>1.5</v>
          </cell>
        </row>
        <row r="613">
          <cell r="A613" t="str">
            <v>EGD-0612</v>
          </cell>
          <cell r="B613" t="str">
            <v>Philips Medical Systems</v>
          </cell>
          <cell r="C613" t="str">
            <v>Intera</v>
          </cell>
          <cell r="D613">
            <v>1.5</v>
          </cell>
        </row>
        <row r="614">
          <cell r="A614" t="str">
            <v>EGD-0613</v>
          </cell>
          <cell r="B614" t="str">
            <v>Philips Medical Systems</v>
          </cell>
          <cell r="C614" t="str">
            <v>Intera</v>
          </cell>
          <cell r="D614">
            <v>1.5</v>
          </cell>
        </row>
        <row r="615">
          <cell r="A615" t="str">
            <v>EGD-0614</v>
          </cell>
          <cell r="B615" t="str">
            <v>Philips Medical Systems</v>
          </cell>
          <cell r="C615" t="str">
            <v>Intera</v>
          </cell>
          <cell r="D615">
            <v>1</v>
          </cell>
        </row>
        <row r="616">
          <cell r="A616" t="str">
            <v>EGD-0615</v>
          </cell>
          <cell r="B616" t="str">
            <v>Philips Medical Systems</v>
          </cell>
          <cell r="C616" t="str">
            <v>NT Intera</v>
          </cell>
          <cell r="D616">
            <v>1</v>
          </cell>
        </row>
        <row r="617">
          <cell r="A617" t="str">
            <v>EGD-0616</v>
          </cell>
          <cell r="B617" t="str">
            <v>GE MEDICAL SYSTEMS</v>
          </cell>
          <cell r="C617" t="str">
            <v>GENESIS_SIGNA</v>
          </cell>
          <cell r="D617">
            <v>1</v>
          </cell>
        </row>
        <row r="618">
          <cell r="A618" t="str">
            <v>EGD-0617</v>
          </cell>
          <cell r="B618" t="str">
            <v>SIEMENS</v>
          </cell>
          <cell r="C618" t="str">
            <v>Skyra</v>
          </cell>
          <cell r="D618">
            <v>3</v>
          </cell>
        </row>
        <row r="619">
          <cell r="A619" t="str">
            <v>EGD-0618</v>
          </cell>
          <cell r="B619" t="str">
            <v>SIEMENS</v>
          </cell>
          <cell r="C619" t="str">
            <v>Symphony</v>
          </cell>
          <cell r="D619">
            <v>1.5</v>
          </cell>
        </row>
        <row r="620">
          <cell r="A620" t="str">
            <v>EGD-0619</v>
          </cell>
          <cell r="B620" t="str">
            <v>SIEMENS</v>
          </cell>
          <cell r="C620" t="str">
            <v>Skyra</v>
          </cell>
          <cell r="D620">
            <v>3</v>
          </cell>
        </row>
        <row r="621">
          <cell r="A621" t="str">
            <v>EGD-0620</v>
          </cell>
          <cell r="B621" t="str">
            <v>GE MEDICAL SYSTEMS</v>
          </cell>
          <cell r="C621" t="str">
            <v>GENESIS_SIGNA</v>
          </cell>
          <cell r="D621">
            <v>1.5</v>
          </cell>
        </row>
        <row r="622">
          <cell r="A622" t="str">
            <v>EGD-0621</v>
          </cell>
          <cell r="B622" t="str">
            <v>Philips Medical Systems</v>
          </cell>
          <cell r="C622" t="str">
            <v>Ingenia</v>
          </cell>
          <cell r="D622">
            <v>3</v>
          </cell>
        </row>
        <row r="623">
          <cell r="A623" t="str">
            <v>EGD-0622</v>
          </cell>
          <cell r="B623" t="str">
            <v>SIEMENS</v>
          </cell>
          <cell r="C623" t="str">
            <v>Aera</v>
          </cell>
          <cell r="D623">
            <v>1.5</v>
          </cell>
        </row>
        <row r="624">
          <cell r="A624" t="str">
            <v>EGD-0623</v>
          </cell>
          <cell r="B624" t="str">
            <v>SIEMENS</v>
          </cell>
          <cell r="C624" t="str">
            <v>MAGNETOM EXPERT</v>
          </cell>
          <cell r="D624">
            <v>1</v>
          </cell>
        </row>
        <row r="625">
          <cell r="A625" t="str">
            <v>EGD-0624</v>
          </cell>
          <cell r="B625" t="str">
            <v>Philips Medical Systems</v>
          </cell>
          <cell r="C625" t="str">
            <v>Intera</v>
          </cell>
          <cell r="D625">
            <v>1.5</v>
          </cell>
        </row>
        <row r="626">
          <cell r="A626" t="str">
            <v>EGD-0625</v>
          </cell>
          <cell r="B626" t="str">
            <v>SIEMENS</v>
          </cell>
          <cell r="C626" t="str">
            <v>Aera</v>
          </cell>
          <cell r="D626">
            <v>1.5</v>
          </cell>
        </row>
        <row r="627">
          <cell r="A627" t="str">
            <v>EGD-0626</v>
          </cell>
          <cell r="B627" t="str">
            <v>GE MEDICAL SYSTEMS</v>
          </cell>
          <cell r="C627" t="str">
            <v>DISCOVERY MR750</v>
          </cell>
          <cell r="D627">
            <v>3</v>
          </cell>
        </row>
        <row r="628">
          <cell r="A628" t="str">
            <v>EGD-0627</v>
          </cell>
          <cell r="B628" t="str">
            <v>SIEMENS</v>
          </cell>
          <cell r="C628" t="str">
            <v>Skyra</v>
          </cell>
          <cell r="D628">
            <v>3</v>
          </cell>
        </row>
        <row r="629">
          <cell r="A629" t="str">
            <v>EGD-0628</v>
          </cell>
          <cell r="B629" t="str">
            <v>Philips Medical Systems</v>
          </cell>
          <cell r="C629" t="str">
            <v>Achieva</v>
          </cell>
          <cell r="D629">
            <v>1.5</v>
          </cell>
        </row>
        <row r="630">
          <cell r="A630" t="str">
            <v>EGD-0629</v>
          </cell>
          <cell r="B630" t="str">
            <v>GE MEDICAL SYSTEMS</v>
          </cell>
          <cell r="C630" t="str">
            <v>Signa HDxt</v>
          </cell>
          <cell r="D630">
            <v>1.5</v>
          </cell>
        </row>
        <row r="631">
          <cell r="A631" t="str">
            <v>EGD-0630</v>
          </cell>
          <cell r="B631" t="str">
            <v>Philips Medical Systems</v>
          </cell>
          <cell r="C631" t="str">
            <v>Achieva</v>
          </cell>
          <cell r="D631">
            <v>1.5</v>
          </cell>
        </row>
        <row r="632">
          <cell r="A632" t="str">
            <v>EGD-0631</v>
          </cell>
          <cell r="B632" t="str">
            <v>GE MEDICAL SYSTEMS</v>
          </cell>
          <cell r="C632" t="str">
            <v>Optima MR450w</v>
          </cell>
          <cell r="D632">
            <v>1.5</v>
          </cell>
        </row>
        <row r="633">
          <cell r="A633" t="str">
            <v>EGD-0632</v>
          </cell>
          <cell r="B633" t="str">
            <v>SIEMENS</v>
          </cell>
          <cell r="C633" t="str">
            <v>Avanto</v>
          </cell>
          <cell r="D633">
            <v>1.5</v>
          </cell>
        </row>
        <row r="634">
          <cell r="A634" t="str">
            <v>EGD-0633</v>
          </cell>
          <cell r="B634" t="str">
            <v>Philips Medical Systems</v>
          </cell>
          <cell r="C634" t="str">
            <v>Intera</v>
          </cell>
          <cell r="D634">
            <v>1</v>
          </cell>
        </row>
        <row r="635">
          <cell r="A635" t="str">
            <v>EGD-0634</v>
          </cell>
          <cell r="B635" t="str">
            <v>SIEMENS</v>
          </cell>
          <cell r="C635" t="str">
            <v>Symphony</v>
          </cell>
          <cell r="D635">
            <v>1.5</v>
          </cell>
        </row>
        <row r="636">
          <cell r="A636" t="str">
            <v>EGD-0635</v>
          </cell>
          <cell r="B636" t="str">
            <v>Philips Medical Systems</v>
          </cell>
          <cell r="C636" t="str">
            <v>Achieva</v>
          </cell>
          <cell r="D636">
            <v>1.5</v>
          </cell>
        </row>
        <row r="637">
          <cell r="A637" t="str">
            <v>EGD-0636</v>
          </cell>
          <cell r="B637" t="str">
            <v>SIEMENS</v>
          </cell>
          <cell r="C637" t="str">
            <v>Aera</v>
          </cell>
          <cell r="D637">
            <v>1.5</v>
          </cell>
        </row>
        <row r="638">
          <cell r="A638" t="str">
            <v>EGD-0637</v>
          </cell>
          <cell r="B638" t="str">
            <v>Philips Medical Systems</v>
          </cell>
          <cell r="C638" t="str">
            <v>Intera</v>
          </cell>
          <cell r="D638">
            <v>1.5</v>
          </cell>
        </row>
        <row r="639">
          <cell r="A639" t="str">
            <v>EGD-0638</v>
          </cell>
          <cell r="B639" t="str">
            <v>SIEMENS</v>
          </cell>
          <cell r="C639" t="str">
            <v>Symphony</v>
          </cell>
          <cell r="D639">
            <v>1.5</v>
          </cell>
        </row>
        <row r="640">
          <cell r="A640" t="str">
            <v>EGD-0639</v>
          </cell>
          <cell r="B640" t="str">
            <v>GE MEDICAL SYSTEMS</v>
          </cell>
          <cell r="C640" t="str">
            <v>DISCOVERY MR450</v>
          </cell>
          <cell r="D640">
            <v>1.5</v>
          </cell>
        </row>
        <row r="641">
          <cell r="A641" t="str">
            <v>EGD-0640</v>
          </cell>
          <cell r="B641" t="str">
            <v>Philips</v>
          </cell>
          <cell r="C641" t="str">
            <v>Ingenia</v>
          </cell>
          <cell r="D641">
            <v>1.5</v>
          </cell>
        </row>
        <row r="642">
          <cell r="A642" t="str">
            <v>EGD-0641</v>
          </cell>
          <cell r="B642" t="str">
            <v>GE MEDICAL SYSTEMS</v>
          </cell>
          <cell r="C642" t="str">
            <v>DISCOVERY MR450</v>
          </cell>
          <cell r="D642">
            <v>1.5</v>
          </cell>
        </row>
        <row r="643">
          <cell r="A643" t="str">
            <v>EGD-0642</v>
          </cell>
          <cell r="B643" t="str">
            <v>Philips Medical Systems</v>
          </cell>
          <cell r="C643" t="str">
            <v>Achieva</v>
          </cell>
          <cell r="D643">
            <v>1.5</v>
          </cell>
        </row>
        <row r="644">
          <cell r="A644" t="str">
            <v>EGD-0643</v>
          </cell>
          <cell r="B644" t="str">
            <v>SIEMENS</v>
          </cell>
          <cell r="C644" t="str">
            <v>Aera</v>
          </cell>
          <cell r="D644">
            <v>1.5</v>
          </cell>
        </row>
        <row r="645">
          <cell r="A645" t="str">
            <v>EGD-0644</v>
          </cell>
          <cell r="B645" t="str">
            <v>GE MEDICAL SYSTEMS</v>
          </cell>
          <cell r="C645" t="str">
            <v>Signa HDxt</v>
          </cell>
          <cell r="D645">
            <v>1.5</v>
          </cell>
        </row>
        <row r="646">
          <cell r="A646" t="str">
            <v>EGD-0645</v>
          </cell>
          <cell r="B646" t="str">
            <v>GE MEDICAL SYSTEMS</v>
          </cell>
          <cell r="C646" t="str">
            <v>Optima MR450w</v>
          </cell>
          <cell r="D646">
            <v>1.5</v>
          </cell>
        </row>
        <row r="647">
          <cell r="A647" t="str">
            <v>EGD-0646</v>
          </cell>
          <cell r="B647" t="str">
            <v>SIEMENS</v>
          </cell>
          <cell r="C647" t="str">
            <v>Harmony</v>
          </cell>
          <cell r="D647">
            <v>1</v>
          </cell>
        </row>
        <row r="648">
          <cell r="A648" t="str">
            <v>EGD-0647</v>
          </cell>
          <cell r="B648" t="str">
            <v>GE MEDICAL SYSTEMS</v>
          </cell>
          <cell r="C648" t="str">
            <v>SIGNA HDx</v>
          </cell>
          <cell r="D648">
            <v>1.5</v>
          </cell>
        </row>
        <row r="649">
          <cell r="A649" t="str">
            <v>EGD-0648</v>
          </cell>
          <cell r="B649" t="str">
            <v>GE MEDICAL SYSTEMS</v>
          </cell>
          <cell r="C649" t="str">
            <v>DISCOVERY MR450</v>
          </cell>
          <cell r="D649">
            <v>1.5</v>
          </cell>
        </row>
        <row r="650">
          <cell r="A650" t="str">
            <v>EGD-0649</v>
          </cell>
          <cell r="B650" t="str">
            <v>GE MEDICAL SYSTEMS</v>
          </cell>
          <cell r="C650" t="str">
            <v>DISCOVERY MR750</v>
          </cell>
          <cell r="D650">
            <v>3</v>
          </cell>
        </row>
        <row r="651">
          <cell r="A651" t="str">
            <v>EGD-0650</v>
          </cell>
          <cell r="B651" t="str">
            <v>SIEMENS</v>
          </cell>
          <cell r="C651" t="str">
            <v>Symphony</v>
          </cell>
          <cell r="D651">
            <v>1.5</v>
          </cell>
        </row>
        <row r="652">
          <cell r="A652" t="str">
            <v>EGD-0651</v>
          </cell>
          <cell r="B652" t="str">
            <v>SIEMENS</v>
          </cell>
          <cell r="C652" t="str">
            <v>Symphony</v>
          </cell>
          <cell r="D652">
            <v>1.5</v>
          </cell>
        </row>
        <row r="653">
          <cell r="A653" t="str">
            <v>EGD-0652</v>
          </cell>
          <cell r="B653" t="str">
            <v>SIEMENS</v>
          </cell>
          <cell r="C653" t="str">
            <v>Harmony</v>
          </cell>
          <cell r="D653">
            <v>1</v>
          </cell>
        </row>
        <row r="654">
          <cell r="A654" t="str">
            <v>EGD-0653</v>
          </cell>
          <cell r="B654" t="str">
            <v>SIEMENS</v>
          </cell>
          <cell r="C654" t="str">
            <v>Symphony</v>
          </cell>
          <cell r="D654">
            <v>1.5</v>
          </cell>
        </row>
        <row r="655">
          <cell r="A655" t="str">
            <v>EGD-0654</v>
          </cell>
          <cell r="B655" t="str">
            <v>Philips Medical Systems</v>
          </cell>
          <cell r="C655" t="str">
            <v>Intera</v>
          </cell>
          <cell r="D655">
            <v>1.5</v>
          </cell>
        </row>
        <row r="656">
          <cell r="A656" t="str">
            <v>EGD-0655</v>
          </cell>
          <cell r="B656" t="str">
            <v>GE MEDICAL SYSTEMS</v>
          </cell>
          <cell r="C656" t="str">
            <v>GENESIS_SIGNA</v>
          </cell>
          <cell r="D656">
            <v>1</v>
          </cell>
        </row>
        <row r="657">
          <cell r="A657" t="str">
            <v>EGD-0656</v>
          </cell>
          <cell r="B657" t="str">
            <v>SIEMENS</v>
          </cell>
          <cell r="C657" t="str">
            <v>Symphony</v>
          </cell>
          <cell r="D657">
            <v>1.5</v>
          </cell>
        </row>
        <row r="658">
          <cell r="A658" t="str">
            <v>EGD-0657</v>
          </cell>
          <cell r="B658" t="str">
            <v>SIEMENS</v>
          </cell>
          <cell r="C658" t="str">
            <v>Aera</v>
          </cell>
          <cell r="D658">
            <v>1.5</v>
          </cell>
        </row>
        <row r="659">
          <cell r="A659" t="str">
            <v>EGD-0658</v>
          </cell>
          <cell r="B659" t="str">
            <v>Philips Medical Systems</v>
          </cell>
          <cell r="C659" t="str">
            <v>Achieva</v>
          </cell>
          <cell r="D659">
            <v>3</v>
          </cell>
        </row>
        <row r="660">
          <cell r="A660" t="str">
            <v>EGD-0659</v>
          </cell>
          <cell r="B660" t="str">
            <v>SIEMENS</v>
          </cell>
          <cell r="C660" t="str">
            <v>Aera</v>
          </cell>
          <cell r="D660">
            <v>1.5</v>
          </cell>
        </row>
        <row r="661">
          <cell r="A661" t="str">
            <v>EGD-0660</v>
          </cell>
          <cell r="B661" t="str">
            <v>Philips Medical Systems</v>
          </cell>
          <cell r="C661" t="str">
            <v>Achieva</v>
          </cell>
          <cell r="D661">
            <v>1.5</v>
          </cell>
        </row>
        <row r="662">
          <cell r="A662" t="str">
            <v>EGD-0661</v>
          </cell>
          <cell r="B662" t="str">
            <v>SIEMENS</v>
          </cell>
          <cell r="C662" t="str">
            <v>Symphony</v>
          </cell>
          <cell r="D662">
            <v>1.5</v>
          </cell>
        </row>
        <row r="663">
          <cell r="A663" t="str">
            <v>EGD-0662</v>
          </cell>
          <cell r="B663" t="str">
            <v>GE MEDICAL SYSTEMS</v>
          </cell>
          <cell r="C663" t="str">
            <v>DISCOVERY MR450</v>
          </cell>
          <cell r="D663">
            <v>1.5</v>
          </cell>
        </row>
        <row r="664">
          <cell r="A664" t="str">
            <v>EGD-0663</v>
          </cell>
          <cell r="B664" t="str">
            <v>SIEMENS</v>
          </cell>
          <cell r="C664" t="str">
            <v>Aera</v>
          </cell>
          <cell r="D664">
            <v>1.5</v>
          </cell>
        </row>
        <row r="665">
          <cell r="A665" t="str">
            <v>EGD-0664</v>
          </cell>
          <cell r="B665" t="str">
            <v>GE MEDICAL SYSTEMS</v>
          </cell>
          <cell r="C665" t="str">
            <v>DISCOVERY MR450</v>
          </cell>
          <cell r="D665">
            <v>1.5</v>
          </cell>
        </row>
        <row r="666">
          <cell r="A666" t="str">
            <v>EGD-0665</v>
          </cell>
          <cell r="B666" t="str">
            <v>SIEMENS</v>
          </cell>
          <cell r="C666" t="str">
            <v>Aera</v>
          </cell>
          <cell r="D666">
            <v>1.5</v>
          </cell>
        </row>
        <row r="667">
          <cell r="A667" t="str">
            <v>EGD-0666</v>
          </cell>
          <cell r="B667" t="str">
            <v>SIEMENS</v>
          </cell>
          <cell r="C667" t="str">
            <v>Aera</v>
          </cell>
          <cell r="D667">
            <v>1.5</v>
          </cell>
        </row>
        <row r="668">
          <cell r="A668" t="str">
            <v>EGD-0667</v>
          </cell>
          <cell r="B668" t="str">
            <v>GE MEDICAL SYSTEMS</v>
          </cell>
          <cell r="C668" t="str">
            <v>DISCOVERY MR750</v>
          </cell>
          <cell r="D668">
            <v>3</v>
          </cell>
        </row>
        <row r="669">
          <cell r="A669" t="str">
            <v>EGD-0668</v>
          </cell>
          <cell r="B669" t="str">
            <v>Philips Medical Systems</v>
          </cell>
          <cell r="C669" t="str">
            <v>Intera</v>
          </cell>
          <cell r="D669">
            <v>1.5</v>
          </cell>
        </row>
        <row r="670">
          <cell r="A670" t="str">
            <v>EGD-0669</v>
          </cell>
          <cell r="B670" t="str">
            <v>SIEMENS</v>
          </cell>
          <cell r="C670" t="str">
            <v>Avanto</v>
          </cell>
          <cell r="D670">
            <v>1.5</v>
          </cell>
        </row>
        <row r="671">
          <cell r="A671" t="str">
            <v>EGD-0670</v>
          </cell>
          <cell r="B671" t="str">
            <v>GE MEDICAL SYSTEMS</v>
          </cell>
          <cell r="C671" t="str">
            <v>DISCOVERY MR750</v>
          </cell>
          <cell r="D671">
            <v>3</v>
          </cell>
        </row>
        <row r="672">
          <cell r="A672" t="str">
            <v>EGD-0671</v>
          </cell>
          <cell r="B672" t="str">
            <v>SIEMENS</v>
          </cell>
          <cell r="C672" t="str">
            <v>Harmony</v>
          </cell>
          <cell r="D672">
            <v>1</v>
          </cell>
        </row>
        <row r="673">
          <cell r="A673" t="str">
            <v>EGD-0672</v>
          </cell>
          <cell r="B673" t="str">
            <v>GE MEDICAL SYSTEMS</v>
          </cell>
          <cell r="C673" t="str">
            <v>DISCOVERY MR750</v>
          </cell>
          <cell r="D673">
            <v>3</v>
          </cell>
        </row>
        <row r="674">
          <cell r="A674" t="str">
            <v>EGD-0673</v>
          </cell>
          <cell r="B674" t="str">
            <v>SIEMENS</v>
          </cell>
          <cell r="C674" t="str">
            <v>Avanto</v>
          </cell>
          <cell r="D674">
            <v>1.5</v>
          </cell>
        </row>
        <row r="675">
          <cell r="A675" t="str">
            <v>EGD-0674</v>
          </cell>
          <cell r="B675" t="str">
            <v>GE MEDICAL SYSTEMS</v>
          </cell>
          <cell r="C675" t="str">
            <v>DISCOVERY MR450</v>
          </cell>
          <cell r="D675">
            <v>1.5</v>
          </cell>
        </row>
        <row r="676">
          <cell r="A676" t="str">
            <v>EGD-0675</v>
          </cell>
          <cell r="B676" t="str">
            <v>Philips Medical Systems</v>
          </cell>
          <cell r="C676" t="str">
            <v>Achieva</v>
          </cell>
          <cell r="D676">
            <v>1.5</v>
          </cell>
        </row>
        <row r="677">
          <cell r="A677" t="str">
            <v>EGD-0676</v>
          </cell>
          <cell r="B677" t="str">
            <v>Philips Medical Systems</v>
          </cell>
          <cell r="C677" t="str">
            <v>Achieva</v>
          </cell>
          <cell r="D677">
            <v>1.5</v>
          </cell>
        </row>
        <row r="678">
          <cell r="A678" t="str">
            <v>EGD-0677</v>
          </cell>
          <cell r="B678" t="str">
            <v>Philips Medical Systems</v>
          </cell>
          <cell r="C678" t="str">
            <v>Achieva</v>
          </cell>
          <cell r="D678">
            <v>1.5</v>
          </cell>
        </row>
        <row r="679">
          <cell r="A679" t="str">
            <v>EGD-0678</v>
          </cell>
          <cell r="B679" t="str">
            <v>Philips Medical Systems</v>
          </cell>
          <cell r="C679" t="str">
            <v>Achieva</v>
          </cell>
          <cell r="D679">
            <v>1.5</v>
          </cell>
        </row>
        <row r="680">
          <cell r="A680" t="str">
            <v>EGD-0679</v>
          </cell>
          <cell r="B680" t="str">
            <v>Philips Medical Systems</v>
          </cell>
          <cell r="C680" t="str">
            <v>Achieva</v>
          </cell>
          <cell r="D680">
            <v>1.5</v>
          </cell>
        </row>
        <row r="681">
          <cell r="A681" t="str">
            <v>EGD-0680</v>
          </cell>
          <cell r="B681" t="str">
            <v>Philips Medical Systems</v>
          </cell>
          <cell r="C681" t="str">
            <v>Intera</v>
          </cell>
          <cell r="D681">
            <v>1.5</v>
          </cell>
        </row>
        <row r="682">
          <cell r="A682" t="str">
            <v>EGD-0681</v>
          </cell>
          <cell r="B682" t="str">
            <v>GE MEDICAL SYSTEMS</v>
          </cell>
          <cell r="C682" t="str">
            <v>Optima MR450w</v>
          </cell>
          <cell r="D682">
            <v>1.5</v>
          </cell>
        </row>
        <row r="683">
          <cell r="A683" t="str">
            <v>EGD-0682</v>
          </cell>
          <cell r="B683" t="str">
            <v>GE MEDICAL SYSTEMS</v>
          </cell>
          <cell r="C683" t="str">
            <v>DISCOVERY MR450</v>
          </cell>
          <cell r="D683">
            <v>1.5</v>
          </cell>
        </row>
        <row r="684">
          <cell r="A684" t="str">
            <v>EGD-0683</v>
          </cell>
          <cell r="B684" t="str">
            <v>GE MEDICAL SYSTEMS</v>
          </cell>
          <cell r="C684" t="str">
            <v>GENESIS_SIGNA</v>
          </cell>
          <cell r="D684">
            <v>1</v>
          </cell>
        </row>
        <row r="685">
          <cell r="A685" t="str">
            <v>EGD-0684</v>
          </cell>
          <cell r="B685" t="str">
            <v>SIEMENS</v>
          </cell>
          <cell r="C685" t="str">
            <v>Harmony</v>
          </cell>
          <cell r="D685">
            <v>1</v>
          </cell>
        </row>
        <row r="686">
          <cell r="A686" t="str">
            <v>EGD-0685</v>
          </cell>
          <cell r="B686" t="str">
            <v>SIEMENS</v>
          </cell>
          <cell r="C686" t="str">
            <v>Symphony</v>
          </cell>
          <cell r="D686">
            <v>1.5</v>
          </cell>
        </row>
        <row r="687">
          <cell r="A687" t="str">
            <v>EGD-0686</v>
          </cell>
          <cell r="B687" t="str">
            <v>GE MEDICAL SYSTEMS</v>
          </cell>
          <cell r="C687" t="str">
            <v>DISCOVERY MR450</v>
          </cell>
          <cell r="D687">
            <v>1.5</v>
          </cell>
        </row>
        <row r="688">
          <cell r="A688" t="str">
            <v>EGD-0687</v>
          </cell>
          <cell r="B688" t="str">
            <v>Philips Medical Systems</v>
          </cell>
          <cell r="C688" t="str">
            <v>Achieva</v>
          </cell>
          <cell r="D688">
            <v>1.5</v>
          </cell>
        </row>
        <row r="689">
          <cell r="A689" t="str">
            <v>EGD-0688</v>
          </cell>
          <cell r="B689" t="str">
            <v>SIEMENS</v>
          </cell>
          <cell r="C689" t="str">
            <v>Harmony</v>
          </cell>
          <cell r="D689">
            <v>1</v>
          </cell>
        </row>
        <row r="690">
          <cell r="A690" t="str">
            <v>EGD-0689</v>
          </cell>
          <cell r="B690" t="str">
            <v>SIEMENS</v>
          </cell>
          <cell r="C690" t="str">
            <v>Symphony</v>
          </cell>
          <cell r="D690">
            <v>1.5</v>
          </cell>
        </row>
        <row r="691">
          <cell r="A691" t="str">
            <v>EGD-0690</v>
          </cell>
          <cell r="B691" t="str">
            <v>Philips Medical Systems</v>
          </cell>
          <cell r="C691" t="str">
            <v>Intera</v>
          </cell>
          <cell r="D691">
            <v>1.5</v>
          </cell>
        </row>
        <row r="692">
          <cell r="A692" t="str">
            <v>EGD-0691</v>
          </cell>
          <cell r="B692" t="str">
            <v>GE MEDICAL SYSTEMS</v>
          </cell>
          <cell r="C692" t="str">
            <v>DISCOVERY MR450</v>
          </cell>
          <cell r="D692">
            <v>1.5</v>
          </cell>
        </row>
        <row r="693">
          <cell r="A693" t="str">
            <v>EGD-0692</v>
          </cell>
          <cell r="B693" t="str">
            <v>SIEMENS</v>
          </cell>
          <cell r="C693" t="str">
            <v>Avanto</v>
          </cell>
          <cell r="D693">
            <v>1.5</v>
          </cell>
        </row>
        <row r="694">
          <cell r="A694" t="str">
            <v>EGD-0693</v>
          </cell>
          <cell r="B694" t="str">
            <v>GE MEDICAL SYSTEMS</v>
          </cell>
          <cell r="C694" t="str">
            <v>DISCOVERY MR450</v>
          </cell>
          <cell r="D694">
            <v>1.5</v>
          </cell>
        </row>
        <row r="695">
          <cell r="A695" t="str">
            <v>EGD-0694</v>
          </cell>
          <cell r="B695" t="str">
            <v>SIEMENS</v>
          </cell>
          <cell r="C695" t="str">
            <v>Aera</v>
          </cell>
          <cell r="D695">
            <v>1.5</v>
          </cell>
        </row>
        <row r="696">
          <cell r="A696" t="str">
            <v>EGD-0695</v>
          </cell>
          <cell r="B696" t="str">
            <v>GE MEDICAL SYSTEMS</v>
          </cell>
          <cell r="C696" t="str">
            <v>Optima MR450w</v>
          </cell>
          <cell r="D696">
            <v>1.5</v>
          </cell>
        </row>
        <row r="697">
          <cell r="A697" t="str">
            <v>EGD-0696</v>
          </cell>
          <cell r="B697" t="str">
            <v>Philips Medical Systems</v>
          </cell>
          <cell r="C697" t="str">
            <v>Ingenia</v>
          </cell>
          <cell r="D697">
            <v>1.5</v>
          </cell>
        </row>
        <row r="698">
          <cell r="A698" t="str">
            <v>EGD-0697</v>
          </cell>
          <cell r="B698" t="str">
            <v>SIEMENS</v>
          </cell>
          <cell r="C698" t="str">
            <v>Aera</v>
          </cell>
          <cell r="D698">
            <v>1.5</v>
          </cell>
        </row>
        <row r="699">
          <cell r="A699" t="str">
            <v>EGD-0698</v>
          </cell>
          <cell r="B699" t="str">
            <v>GE MEDICAL SYSTEMS</v>
          </cell>
          <cell r="C699" t="str">
            <v>DISCOVERY MR450</v>
          </cell>
          <cell r="D699">
            <v>1.5</v>
          </cell>
        </row>
        <row r="700">
          <cell r="A700" t="str">
            <v>EGD-0699</v>
          </cell>
          <cell r="B700" t="str">
            <v>Philips Medical Systems</v>
          </cell>
          <cell r="C700" t="str">
            <v>Ingenia</v>
          </cell>
          <cell r="D700">
            <v>1.5</v>
          </cell>
        </row>
        <row r="701">
          <cell r="A701" t="str">
            <v>EGD-0700</v>
          </cell>
          <cell r="B701" t="str">
            <v>GE MEDICAL SYSTEMS</v>
          </cell>
          <cell r="C701" t="str">
            <v>DISCOVERY MR450</v>
          </cell>
          <cell r="D701">
            <v>1.5</v>
          </cell>
        </row>
        <row r="702">
          <cell r="A702" t="str">
            <v>EGD-0701</v>
          </cell>
          <cell r="B702" t="str">
            <v>GE MEDICAL SYSTEMS</v>
          </cell>
          <cell r="C702" t="str">
            <v>Optima MR450w</v>
          </cell>
          <cell r="D702">
            <v>1.5</v>
          </cell>
        </row>
        <row r="703">
          <cell r="A703" t="str">
            <v>EGD-0702</v>
          </cell>
          <cell r="B703" t="str">
            <v>GE MEDICAL SYSTEMS</v>
          </cell>
          <cell r="C703" t="str">
            <v>DISCOVERY MR450</v>
          </cell>
          <cell r="D703">
            <v>1.5</v>
          </cell>
        </row>
        <row r="704">
          <cell r="A704" t="str">
            <v>EGD-0703</v>
          </cell>
          <cell r="B704" t="str">
            <v>SIEMENS</v>
          </cell>
          <cell r="C704" t="str">
            <v>Avanto</v>
          </cell>
          <cell r="D704">
            <v>1.5</v>
          </cell>
        </row>
        <row r="705">
          <cell r="A705" t="str">
            <v>EGD-0704</v>
          </cell>
          <cell r="B705" t="str">
            <v>GE MEDICAL SYSTEMS</v>
          </cell>
          <cell r="C705" t="str">
            <v>SIGNA HDx</v>
          </cell>
          <cell r="D705">
            <v>1.5</v>
          </cell>
        </row>
        <row r="706">
          <cell r="A706" t="str">
            <v>EGD-0705</v>
          </cell>
          <cell r="B706" t="str">
            <v>SIEMENS</v>
          </cell>
          <cell r="C706" t="str">
            <v>Avanto</v>
          </cell>
          <cell r="D706">
            <v>1.5</v>
          </cell>
        </row>
        <row r="707">
          <cell r="A707" t="str">
            <v>EGD-0706</v>
          </cell>
          <cell r="B707" t="str">
            <v>GE MEDICAL SYSTEMS</v>
          </cell>
          <cell r="C707" t="str">
            <v>GENESIS_SIGNA</v>
          </cell>
          <cell r="D707">
            <v>1</v>
          </cell>
        </row>
        <row r="708">
          <cell r="A708" t="str">
            <v>EGD-0707</v>
          </cell>
          <cell r="B708" t="str">
            <v>Philips Healthcare</v>
          </cell>
          <cell r="C708" t="str">
            <v>Ingenia</v>
          </cell>
          <cell r="D708">
            <v>3</v>
          </cell>
        </row>
        <row r="709">
          <cell r="A709" t="str">
            <v>EGD-0708</v>
          </cell>
          <cell r="B709" t="str">
            <v>GE MEDICAL SYSTEMS</v>
          </cell>
          <cell r="C709" t="str">
            <v>GENESIS_SIGNA</v>
          </cell>
          <cell r="D709">
            <v>1</v>
          </cell>
        </row>
        <row r="710">
          <cell r="A710" t="str">
            <v>EGD-0709</v>
          </cell>
          <cell r="B710" t="str">
            <v>GE MEDICAL SYSTEMS</v>
          </cell>
          <cell r="C710" t="str">
            <v>DISCOVERY MR450</v>
          </cell>
          <cell r="D710">
            <v>1.5</v>
          </cell>
        </row>
        <row r="711">
          <cell r="A711" t="str">
            <v>EGD-0710</v>
          </cell>
          <cell r="B711" t="str">
            <v>SIEMENS</v>
          </cell>
          <cell r="C711" t="str">
            <v>Avanto</v>
          </cell>
          <cell r="D711">
            <v>1.5</v>
          </cell>
        </row>
        <row r="712">
          <cell r="A712" t="str">
            <v>EGD-0711</v>
          </cell>
          <cell r="B712" t="str">
            <v>SIEMENS</v>
          </cell>
          <cell r="C712" t="str">
            <v>MAGNETOM EXPERT</v>
          </cell>
          <cell r="D712">
            <v>1</v>
          </cell>
        </row>
        <row r="713">
          <cell r="A713" t="str">
            <v>EGD-0712</v>
          </cell>
          <cell r="B713" t="str">
            <v>Philips Medical Systems</v>
          </cell>
          <cell r="C713" t="str">
            <v>Intera</v>
          </cell>
          <cell r="D713">
            <v>1</v>
          </cell>
        </row>
        <row r="714">
          <cell r="A714" t="str">
            <v>EGD-0713</v>
          </cell>
          <cell r="B714" t="str">
            <v>Philips Medical Systems</v>
          </cell>
          <cell r="C714" t="str">
            <v>Intera</v>
          </cell>
          <cell r="D714">
            <v>0.5</v>
          </cell>
        </row>
        <row r="715">
          <cell r="A715" t="str">
            <v>EGD-0714</v>
          </cell>
          <cell r="B715" t="str">
            <v>SIEMENS</v>
          </cell>
          <cell r="C715" t="str">
            <v>Symphony</v>
          </cell>
          <cell r="D715">
            <v>1.5</v>
          </cell>
        </row>
        <row r="716">
          <cell r="A716" t="str">
            <v>EGD-0715</v>
          </cell>
          <cell r="B716" t="str">
            <v>SIEMENS</v>
          </cell>
          <cell r="C716" t="str">
            <v>Symphony</v>
          </cell>
          <cell r="D716">
            <v>1.5</v>
          </cell>
        </row>
        <row r="717">
          <cell r="A717" t="str">
            <v>EGD-0716</v>
          </cell>
          <cell r="B717" t="str">
            <v>GE MEDICAL SYSTEMS</v>
          </cell>
          <cell r="C717" t="str">
            <v>DISCOVERY MR450</v>
          </cell>
          <cell r="D717">
            <v>1.5</v>
          </cell>
        </row>
        <row r="718">
          <cell r="A718" t="str">
            <v>EGD-0717</v>
          </cell>
          <cell r="B718" t="str">
            <v>SIEMENS</v>
          </cell>
          <cell r="C718" t="str">
            <v>Avanto</v>
          </cell>
          <cell r="D718">
            <v>1.5</v>
          </cell>
        </row>
        <row r="719">
          <cell r="A719" t="str">
            <v>EGD-0718</v>
          </cell>
          <cell r="B719" t="str">
            <v>Philips Medical Systems</v>
          </cell>
          <cell r="C719" t="str">
            <v>Intera</v>
          </cell>
          <cell r="D719">
            <v>1.5</v>
          </cell>
        </row>
        <row r="720">
          <cell r="A720" t="str">
            <v>EGD-0719</v>
          </cell>
          <cell r="B720" t="str">
            <v>SIEMENS</v>
          </cell>
          <cell r="C720" t="str">
            <v>Symphony</v>
          </cell>
          <cell r="D720">
            <v>1.5</v>
          </cell>
        </row>
        <row r="721">
          <cell r="A721" t="str">
            <v>EGD-0720</v>
          </cell>
          <cell r="B721" t="str">
            <v>Philips Medical Systems</v>
          </cell>
          <cell r="C721" t="str">
            <v>Achieva</v>
          </cell>
          <cell r="D721">
            <v>1.5</v>
          </cell>
        </row>
        <row r="722">
          <cell r="A722" t="str">
            <v>EGD-0721</v>
          </cell>
          <cell r="B722" t="str">
            <v>SIEMENS</v>
          </cell>
          <cell r="C722" t="str">
            <v>MAGNETOM_ESSENZA</v>
          </cell>
          <cell r="D722">
            <v>1.5</v>
          </cell>
        </row>
        <row r="723">
          <cell r="A723" t="str">
            <v>EGD-0722</v>
          </cell>
          <cell r="B723" t="str">
            <v>Philips Medical Systems</v>
          </cell>
          <cell r="C723" t="str">
            <v>Achieva</v>
          </cell>
          <cell r="D723">
            <v>1.5</v>
          </cell>
        </row>
        <row r="724">
          <cell r="A724" t="str">
            <v>EGD-0723</v>
          </cell>
          <cell r="B724" t="str">
            <v>SIEMENS</v>
          </cell>
          <cell r="C724" t="str">
            <v>Avanto</v>
          </cell>
          <cell r="D724">
            <v>1.5</v>
          </cell>
        </row>
        <row r="725">
          <cell r="A725" t="str">
            <v>EGD-0724</v>
          </cell>
          <cell r="B725" t="str">
            <v>SIEMENS</v>
          </cell>
          <cell r="C725" t="str">
            <v>Symphony</v>
          </cell>
          <cell r="D725">
            <v>1.5</v>
          </cell>
        </row>
        <row r="726">
          <cell r="A726" t="str">
            <v>EGD-0725</v>
          </cell>
          <cell r="B726" t="str">
            <v>GE MEDICAL SYSTEMS</v>
          </cell>
          <cell r="C726" t="str">
            <v>DISCOVERY MR450</v>
          </cell>
          <cell r="D726">
            <v>1.5</v>
          </cell>
        </row>
        <row r="727">
          <cell r="A727" t="str">
            <v>EGD-0726</v>
          </cell>
          <cell r="B727" t="str">
            <v>SIEMENS</v>
          </cell>
          <cell r="C727" t="str">
            <v>Harmony</v>
          </cell>
          <cell r="D727">
            <v>1</v>
          </cell>
        </row>
        <row r="728">
          <cell r="A728" t="str">
            <v>EGD-0727</v>
          </cell>
          <cell r="B728" t="str">
            <v>SIEMENS</v>
          </cell>
          <cell r="C728" t="str">
            <v>Symphony</v>
          </cell>
          <cell r="D728">
            <v>1.5</v>
          </cell>
        </row>
        <row r="729">
          <cell r="A729" t="str">
            <v>EGD-0728</v>
          </cell>
          <cell r="B729" t="str">
            <v>Philips Medical Systems</v>
          </cell>
          <cell r="C729" t="str">
            <v>Ingenia</v>
          </cell>
          <cell r="D729">
            <v>1.5</v>
          </cell>
        </row>
        <row r="730">
          <cell r="A730" t="str">
            <v>EGD-0729</v>
          </cell>
          <cell r="B730" t="str">
            <v>GE MEDICAL SYSTEMS</v>
          </cell>
          <cell r="C730" t="str">
            <v>DISCOVERY MR750</v>
          </cell>
          <cell r="D730">
            <v>3</v>
          </cell>
        </row>
        <row r="731">
          <cell r="A731" t="str">
            <v>EGD-0730</v>
          </cell>
          <cell r="B731" t="str">
            <v>SIEMENS</v>
          </cell>
          <cell r="C731" t="str">
            <v>Avanto</v>
          </cell>
          <cell r="D731">
            <v>1.5</v>
          </cell>
        </row>
        <row r="732">
          <cell r="A732" t="str">
            <v>EGD-0731</v>
          </cell>
          <cell r="B732" t="str">
            <v>SIEMENS</v>
          </cell>
          <cell r="C732" t="str">
            <v>Symphony</v>
          </cell>
          <cell r="D732">
            <v>1.5</v>
          </cell>
        </row>
        <row r="733">
          <cell r="A733" t="str">
            <v>EGD-0732</v>
          </cell>
          <cell r="B733" t="str">
            <v>Philips Medical Systems</v>
          </cell>
          <cell r="C733" t="str">
            <v>Intera</v>
          </cell>
          <cell r="D733">
            <v>1.5</v>
          </cell>
        </row>
        <row r="734">
          <cell r="A734" t="str">
            <v>EGD-0733</v>
          </cell>
          <cell r="B734" t="str">
            <v>SIEMENS</v>
          </cell>
          <cell r="C734" t="str">
            <v>MAGNETOM EXPERT</v>
          </cell>
          <cell r="D734">
            <v>1</v>
          </cell>
        </row>
        <row r="735">
          <cell r="A735" t="str">
            <v>EGD-0734</v>
          </cell>
          <cell r="B735" t="str">
            <v>SIEMENS</v>
          </cell>
          <cell r="C735" t="str">
            <v>Skyra</v>
          </cell>
          <cell r="D735">
            <v>3</v>
          </cell>
        </row>
        <row r="736">
          <cell r="A736" t="str">
            <v>EGD-0735</v>
          </cell>
          <cell r="B736" t="str">
            <v>Philips Medical Systems</v>
          </cell>
          <cell r="C736" t="str">
            <v>Ingenia</v>
          </cell>
          <cell r="D736">
            <v>-1</v>
          </cell>
        </row>
        <row r="737">
          <cell r="A737" t="str">
            <v>EGD-0736</v>
          </cell>
          <cell r="B737" t="str">
            <v>GE MEDICAL SYSTEMS</v>
          </cell>
          <cell r="C737" t="str">
            <v>DISCOVERY MR750</v>
          </cell>
          <cell r="D737">
            <v>3</v>
          </cell>
        </row>
        <row r="738">
          <cell r="A738" t="str">
            <v>EGD-0737</v>
          </cell>
          <cell r="B738" t="str">
            <v>GE MEDICAL SYSTEMS</v>
          </cell>
          <cell r="C738" t="str">
            <v>DISCOVERY MR750</v>
          </cell>
          <cell r="D738">
            <v>3</v>
          </cell>
        </row>
        <row r="739">
          <cell r="A739" t="str">
            <v>EGD-0738</v>
          </cell>
          <cell r="B739" t="str">
            <v>Philips Medical Systems</v>
          </cell>
          <cell r="C739" t="str">
            <v>Intera</v>
          </cell>
          <cell r="D739">
            <v>1.5</v>
          </cell>
        </row>
        <row r="740">
          <cell r="A740" t="str">
            <v>EGD-0739</v>
          </cell>
          <cell r="B740" t="str">
            <v>GE MEDICAL SYSTEMS</v>
          </cell>
          <cell r="C740" t="str">
            <v>DISCOVERY MR750</v>
          </cell>
          <cell r="D740">
            <v>3</v>
          </cell>
        </row>
        <row r="741">
          <cell r="A741" t="str">
            <v>EGD-0740</v>
          </cell>
          <cell r="B741" t="str">
            <v>Philips Medical Systems</v>
          </cell>
          <cell r="C741" t="str">
            <v>Achieva</v>
          </cell>
          <cell r="D741">
            <v>1.5</v>
          </cell>
        </row>
        <row r="742">
          <cell r="A742" t="str">
            <v>EGD-0741</v>
          </cell>
          <cell r="B742" t="str">
            <v>SIEMENS</v>
          </cell>
          <cell r="C742" t="str">
            <v>Aera</v>
          </cell>
          <cell r="D742">
            <v>1.5</v>
          </cell>
        </row>
        <row r="743">
          <cell r="A743" t="str">
            <v>EGD-0742</v>
          </cell>
          <cell r="B743" t="str">
            <v>SIEMENS</v>
          </cell>
          <cell r="C743" t="str">
            <v>Avanto</v>
          </cell>
          <cell r="D743">
            <v>1.5</v>
          </cell>
        </row>
        <row r="744">
          <cell r="A744" t="str">
            <v>EGD-0743</v>
          </cell>
          <cell r="B744" t="str">
            <v>Philips Medical Systems</v>
          </cell>
          <cell r="C744" t="str">
            <v>Intera</v>
          </cell>
          <cell r="D744">
            <v>1.5</v>
          </cell>
        </row>
        <row r="745">
          <cell r="A745" t="str">
            <v>EGD-0744</v>
          </cell>
          <cell r="B745" t="str">
            <v>GE MEDICAL SYSTEMS</v>
          </cell>
          <cell r="C745" t="str">
            <v>DISCOVERY MR450</v>
          </cell>
          <cell r="D745">
            <v>1.5</v>
          </cell>
        </row>
        <row r="746">
          <cell r="A746" t="str">
            <v>EGD-0745</v>
          </cell>
          <cell r="B746" t="str">
            <v>Philips Medical Systems</v>
          </cell>
          <cell r="C746" t="str">
            <v>Intera</v>
          </cell>
          <cell r="D746">
            <v>1.5</v>
          </cell>
        </row>
        <row r="747">
          <cell r="A747" t="str">
            <v>EGD-0746</v>
          </cell>
          <cell r="B747" t="str">
            <v>SIEMENS</v>
          </cell>
          <cell r="C747" t="str">
            <v>Harmony</v>
          </cell>
          <cell r="D747">
            <v>1</v>
          </cell>
        </row>
        <row r="748">
          <cell r="A748" t="str">
            <v>EGD-0747</v>
          </cell>
          <cell r="B748" t="str">
            <v>Philips Medical Systems</v>
          </cell>
          <cell r="C748" t="str">
            <v>Intera</v>
          </cell>
          <cell r="D748">
            <v>1.5</v>
          </cell>
        </row>
        <row r="749">
          <cell r="A749" t="str">
            <v>EGD-0748</v>
          </cell>
          <cell r="B749" t="str">
            <v>SIEMENS</v>
          </cell>
          <cell r="C749" t="str">
            <v>MAGNETOM Harmony</v>
          </cell>
          <cell r="D749">
            <v>1</v>
          </cell>
        </row>
        <row r="750">
          <cell r="A750" t="str">
            <v>EGD-0749</v>
          </cell>
          <cell r="B750" t="str">
            <v>GE MEDICAL SYSTEMS</v>
          </cell>
          <cell r="C750" t="str">
            <v>DISCOVERY MR450</v>
          </cell>
          <cell r="D750">
            <v>1.5</v>
          </cell>
        </row>
        <row r="751">
          <cell r="A751" t="str">
            <v>EGD-0750</v>
          </cell>
          <cell r="B751" t="str">
            <v>SIEMENS</v>
          </cell>
          <cell r="C751" t="str">
            <v>Avanto</v>
          </cell>
          <cell r="D751">
            <v>1.5</v>
          </cell>
        </row>
        <row r="752">
          <cell r="A752" t="str">
            <v>EGD-0751</v>
          </cell>
          <cell r="B752" t="str">
            <v>Philips Medical Systems</v>
          </cell>
          <cell r="C752" t="str">
            <v>Intera</v>
          </cell>
          <cell r="D752">
            <v>1</v>
          </cell>
        </row>
        <row r="753">
          <cell r="A753" t="str">
            <v>EGD-0752</v>
          </cell>
          <cell r="B753" t="str">
            <v>GE MEDICAL SYSTEMS</v>
          </cell>
          <cell r="C753" t="str">
            <v>DISCOVERY MR750</v>
          </cell>
          <cell r="D753">
            <v>3</v>
          </cell>
        </row>
        <row r="754">
          <cell r="A754" t="str">
            <v>EGD-0753</v>
          </cell>
          <cell r="B754" t="str">
            <v>SIEMENS</v>
          </cell>
          <cell r="C754" t="str">
            <v>Avanto</v>
          </cell>
          <cell r="D754">
            <v>1.5</v>
          </cell>
        </row>
        <row r="755">
          <cell r="A755" t="str">
            <v>EGD-0754</v>
          </cell>
          <cell r="B755" t="str">
            <v>Philips Medical Systems</v>
          </cell>
          <cell r="C755" t="str">
            <v>Intera</v>
          </cell>
          <cell r="D755">
            <v>1.5</v>
          </cell>
        </row>
        <row r="756">
          <cell r="A756" t="str">
            <v>EGD-0755</v>
          </cell>
          <cell r="B756" t="str">
            <v>Philips Medical Systems</v>
          </cell>
          <cell r="C756" t="str">
            <v>Intera</v>
          </cell>
          <cell r="D756">
            <v>1</v>
          </cell>
        </row>
        <row r="757">
          <cell r="A757" t="str">
            <v>EGD-0756</v>
          </cell>
          <cell r="B757" t="str">
            <v>Philips Medical Systems</v>
          </cell>
          <cell r="C757" t="str">
            <v>Intera</v>
          </cell>
          <cell r="D757">
            <v>1.5</v>
          </cell>
        </row>
        <row r="758">
          <cell r="A758" t="str">
            <v>EGD-0757</v>
          </cell>
          <cell r="B758" t="str">
            <v>Philips Medical Systems</v>
          </cell>
          <cell r="C758" t="str">
            <v>NT Intera</v>
          </cell>
          <cell r="D758">
            <v>1.5</v>
          </cell>
        </row>
        <row r="759">
          <cell r="A759" t="str">
            <v>EGD-0758</v>
          </cell>
          <cell r="B759" t="str">
            <v>SIEMENS</v>
          </cell>
          <cell r="C759" t="str">
            <v>Symphony</v>
          </cell>
          <cell r="D759">
            <v>1.5</v>
          </cell>
        </row>
        <row r="760">
          <cell r="A760" t="str">
            <v>EGD-0759</v>
          </cell>
          <cell r="B760" t="str">
            <v>GE MEDICAL SYSTEMS</v>
          </cell>
          <cell r="C760" t="str">
            <v>DISCOVERY MR450</v>
          </cell>
          <cell r="D760">
            <v>1.5</v>
          </cell>
        </row>
        <row r="761">
          <cell r="A761" t="str">
            <v>EGD-0760</v>
          </cell>
          <cell r="B761" t="str">
            <v>Philips Medical Systems</v>
          </cell>
          <cell r="C761">
            <v>-1</v>
          </cell>
          <cell r="D761">
            <v>-1</v>
          </cell>
        </row>
        <row r="762">
          <cell r="A762" t="str">
            <v>EGD-0761</v>
          </cell>
          <cell r="B762" t="str">
            <v>SIEMENS</v>
          </cell>
          <cell r="C762" t="str">
            <v>Symphony</v>
          </cell>
          <cell r="D762">
            <v>1.5</v>
          </cell>
        </row>
        <row r="763">
          <cell r="A763" t="str">
            <v>EGD-0762</v>
          </cell>
          <cell r="B763" t="str">
            <v>GE MEDICAL SYSTEMS</v>
          </cell>
          <cell r="C763" t="str">
            <v>DISCOVERY MR450</v>
          </cell>
          <cell r="D763">
            <v>1.5</v>
          </cell>
        </row>
        <row r="764">
          <cell r="A764" t="str">
            <v>EGD-0763</v>
          </cell>
          <cell r="B764" t="str">
            <v>GE MEDICAL SYSTEMS</v>
          </cell>
          <cell r="C764" t="str">
            <v>DISCOVERY MR450</v>
          </cell>
          <cell r="D764">
            <v>1.5</v>
          </cell>
        </row>
        <row r="765">
          <cell r="A765" t="str">
            <v>EGD-0764</v>
          </cell>
          <cell r="B765" t="str">
            <v>Philips Medical Systems</v>
          </cell>
          <cell r="C765" t="str">
            <v>Achieva</v>
          </cell>
          <cell r="D765">
            <v>3</v>
          </cell>
        </row>
        <row r="766">
          <cell r="A766" t="str">
            <v>EGD-0765</v>
          </cell>
          <cell r="B766" t="str">
            <v>Philips Medical Systems</v>
          </cell>
          <cell r="C766" t="str">
            <v>Achieva</v>
          </cell>
          <cell r="D766">
            <v>1.5</v>
          </cell>
        </row>
        <row r="767">
          <cell r="A767" t="str">
            <v>EGD-0766</v>
          </cell>
          <cell r="B767" t="str">
            <v>SIEMENS</v>
          </cell>
          <cell r="C767" t="str">
            <v>Aera</v>
          </cell>
          <cell r="D767">
            <v>1.5</v>
          </cell>
        </row>
        <row r="768">
          <cell r="A768" t="str">
            <v>EGD-0767</v>
          </cell>
          <cell r="B768" t="str">
            <v>SIEMENS</v>
          </cell>
          <cell r="C768" t="str">
            <v>Avanto</v>
          </cell>
          <cell r="D768">
            <v>1.5</v>
          </cell>
        </row>
        <row r="769">
          <cell r="A769" t="str">
            <v>EGD-0768</v>
          </cell>
          <cell r="B769" t="str">
            <v>SIEMENS</v>
          </cell>
          <cell r="C769" t="str">
            <v>Harmony</v>
          </cell>
          <cell r="D769">
            <v>1</v>
          </cell>
        </row>
        <row r="770">
          <cell r="A770" t="str">
            <v>EGD-0769</v>
          </cell>
          <cell r="B770" t="str">
            <v>GE MEDICAL SYSTEMS</v>
          </cell>
          <cell r="C770" t="str">
            <v>SIGNA HDx</v>
          </cell>
          <cell r="D770">
            <v>1.5</v>
          </cell>
        </row>
        <row r="771">
          <cell r="A771" t="str">
            <v>EGD-0770</v>
          </cell>
          <cell r="B771" t="str">
            <v>SIEMENS</v>
          </cell>
          <cell r="C771" t="str">
            <v>Aera</v>
          </cell>
          <cell r="D771">
            <v>1.5</v>
          </cell>
        </row>
        <row r="772">
          <cell r="A772" t="str">
            <v>EGD-0771</v>
          </cell>
          <cell r="B772" t="str">
            <v>SIEMENS</v>
          </cell>
          <cell r="C772" t="str">
            <v>Avanto</v>
          </cell>
          <cell r="D772">
            <v>1.5</v>
          </cell>
        </row>
        <row r="773">
          <cell r="A773" t="str">
            <v>EGD-0772</v>
          </cell>
          <cell r="B773" t="str">
            <v>GE MEDICAL SYSTEMS</v>
          </cell>
          <cell r="C773" t="str">
            <v>DISCOVERY MR450</v>
          </cell>
          <cell r="D773">
            <v>1.5</v>
          </cell>
        </row>
        <row r="774">
          <cell r="A774" t="str">
            <v>EGD-0773</v>
          </cell>
          <cell r="B774" t="str">
            <v>Philips Medical Systems</v>
          </cell>
          <cell r="C774" t="str">
            <v>Achieva</v>
          </cell>
          <cell r="D774">
            <v>1.5</v>
          </cell>
        </row>
        <row r="775">
          <cell r="A775" t="str">
            <v>EGD-0774</v>
          </cell>
          <cell r="B775" t="str">
            <v>Philips Medical Systems</v>
          </cell>
          <cell r="C775" t="str">
            <v>Intera</v>
          </cell>
          <cell r="D775">
            <v>1.5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Subject</v>
          </cell>
          <cell r="B1" t="str">
            <v>IDH</v>
          </cell>
          <cell r="C1" t="str">
            <v>1p19q</v>
          </cell>
          <cell r="D1" t="str">
            <v>Grade</v>
          </cell>
        </row>
        <row r="2">
          <cell r="A2" t="str">
            <v>EGD-0001</v>
          </cell>
          <cell r="B2">
            <v>-1</v>
          </cell>
          <cell r="C2">
            <v>-1</v>
          </cell>
          <cell r="D2">
            <v>4</v>
          </cell>
        </row>
        <row r="3">
          <cell r="A3" t="str">
            <v>EGD-0002</v>
          </cell>
          <cell r="B3">
            <v>-1</v>
          </cell>
          <cell r="C3">
            <v>-1</v>
          </cell>
          <cell r="D3">
            <v>2</v>
          </cell>
        </row>
        <row r="4">
          <cell r="A4" t="str">
            <v>EGD-0003</v>
          </cell>
          <cell r="B4">
            <v>-1</v>
          </cell>
          <cell r="C4">
            <v>-1</v>
          </cell>
          <cell r="D4">
            <v>4</v>
          </cell>
        </row>
        <row r="5">
          <cell r="A5" t="str">
            <v>EGD-0004</v>
          </cell>
          <cell r="B5">
            <v>1</v>
          </cell>
          <cell r="C5">
            <v>1</v>
          </cell>
          <cell r="D5">
            <v>2</v>
          </cell>
        </row>
        <row r="6">
          <cell r="A6" t="str">
            <v>EGD-0005</v>
          </cell>
          <cell r="B6">
            <v>-1</v>
          </cell>
          <cell r="C6">
            <v>-1</v>
          </cell>
          <cell r="D6">
            <v>4</v>
          </cell>
        </row>
        <row r="7">
          <cell r="A7" t="str">
            <v>EGD-0006</v>
          </cell>
          <cell r="B7">
            <v>-1</v>
          </cell>
          <cell r="C7">
            <v>-1</v>
          </cell>
          <cell r="D7">
            <v>4</v>
          </cell>
        </row>
        <row r="8">
          <cell r="A8" t="str">
            <v>EGD-0007</v>
          </cell>
          <cell r="B8">
            <v>-1</v>
          </cell>
          <cell r="C8">
            <v>-1</v>
          </cell>
          <cell r="D8">
            <v>3</v>
          </cell>
        </row>
        <row r="9">
          <cell r="A9" t="str">
            <v>EGD-0008</v>
          </cell>
          <cell r="B9">
            <v>1</v>
          </cell>
          <cell r="C9">
            <v>1</v>
          </cell>
          <cell r="D9">
            <v>2</v>
          </cell>
        </row>
        <row r="10">
          <cell r="A10" t="str">
            <v>EGD-0009</v>
          </cell>
          <cell r="B10">
            <v>0</v>
          </cell>
          <cell r="C10">
            <v>0</v>
          </cell>
          <cell r="D10">
            <v>2</v>
          </cell>
        </row>
        <row r="11">
          <cell r="A11" t="str">
            <v>EGD-0010</v>
          </cell>
          <cell r="B11">
            <v>-1</v>
          </cell>
          <cell r="C11">
            <v>-1</v>
          </cell>
          <cell r="D11">
            <v>4</v>
          </cell>
        </row>
        <row r="12">
          <cell r="A12" t="str">
            <v>EGD-0011</v>
          </cell>
          <cell r="B12">
            <v>1</v>
          </cell>
          <cell r="C12">
            <v>1</v>
          </cell>
          <cell r="D12">
            <v>2</v>
          </cell>
        </row>
        <row r="13">
          <cell r="A13" t="str">
            <v>EGD-0012</v>
          </cell>
          <cell r="B13">
            <v>-1</v>
          </cell>
          <cell r="C13">
            <v>-1</v>
          </cell>
          <cell r="D13">
            <v>4</v>
          </cell>
        </row>
        <row r="14">
          <cell r="A14" t="str">
            <v>EGD-0013</v>
          </cell>
          <cell r="B14">
            <v>-1</v>
          </cell>
          <cell r="C14">
            <v>-1</v>
          </cell>
          <cell r="D14">
            <v>4</v>
          </cell>
        </row>
        <row r="15">
          <cell r="A15" t="str">
            <v>EGD-0014</v>
          </cell>
          <cell r="B15">
            <v>0</v>
          </cell>
          <cell r="C15">
            <v>0</v>
          </cell>
          <cell r="D15">
            <v>4</v>
          </cell>
        </row>
        <row r="16">
          <cell r="A16" t="str">
            <v>EGD-0015</v>
          </cell>
          <cell r="B16">
            <v>0</v>
          </cell>
          <cell r="C16">
            <v>-1</v>
          </cell>
          <cell r="D16">
            <v>4</v>
          </cell>
        </row>
        <row r="17">
          <cell r="A17" t="str">
            <v>EGD-0016</v>
          </cell>
          <cell r="B17">
            <v>-1</v>
          </cell>
          <cell r="C17">
            <v>-1</v>
          </cell>
          <cell r="D17">
            <v>4</v>
          </cell>
        </row>
        <row r="18">
          <cell r="A18" t="str">
            <v>EGD-0017</v>
          </cell>
          <cell r="B18">
            <v>-1</v>
          </cell>
          <cell r="C18">
            <v>-1</v>
          </cell>
          <cell r="D18">
            <v>4</v>
          </cell>
        </row>
        <row r="19">
          <cell r="A19" t="str">
            <v>EGD-0018</v>
          </cell>
          <cell r="B19">
            <v>-1</v>
          </cell>
          <cell r="C19">
            <v>-1</v>
          </cell>
          <cell r="D19">
            <v>4</v>
          </cell>
        </row>
        <row r="20">
          <cell r="A20" t="str">
            <v>EGD-0019</v>
          </cell>
          <cell r="B20">
            <v>-1</v>
          </cell>
          <cell r="C20">
            <v>-1</v>
          </cell>
          <cell r="D20">
            <v>3</v>
          </cell>
        </row>
        <row r="21">
          <cell r="A21" t="str">
            <v>EGD-0020</v>
          </cell>
          <cell r="B21">
            <v>1</v>
          </cell>
          <cell r="C21">
            <v>1</v>
          </cell>
          <cell r="D21">
            <v>2</v>
          </cell>
        </row>
        <row r="22">
          <cell r="A22" t="str">
            <v>EGD-0021</v>
          </cell>
          <cell r="B22">
            <v>-1</v>
          </cell>
          <cell r="C22">
            <v>-1</v>
          </cell>
          <cell r="D22">
            <v>4</v>
          </cell>
        </row>
        <row r="23">
          <cell r="A23" t="str">
            <v>EGD-0022</v>
          </cell>
          <cell r="B23">
            <v>1</v>
          </cell>
          <cell r="C23">
            <v>1</v>
          </cell>
          <cell r="D23">
            <v>2</v>
          </cell>
        </row>
        <row r="24">
          <cell r="A24" t="str">
            <v>EGD-0023</v>
          </cell>
          <cell r="B24">
            <v>-1</v>
          </cell>
          <cell r="C24">
            <v>-1</v>
          </cell>
          <cell r="D24">
            <v>4</v>
          </cell>
        </row>
        <row r="25">
          <cell r="A25" t="str">
            <v>EGD-0024</v>
          </cell>
          <cell r="B25">
            <v>1</v>
          </cell>
          <cell r="C25">
            <v>0</v>
          </cell>
          <cell r="D25">
            <v>2</v>
          </cell>
        </row>
        <row r="26">
          <cell r="A26" t="str">
            <v>EGD-0025</v>
          </cell>
          <cell r="B26">
            <v>-1</v>
          </cell>
          <cell r="C26">
            <v>-1</v>
          </cell>
          <cell r="D26">
            <v>4</v>
          </cell>
        </row>
        <row r="27">
          <cell r="A27" t="str">
            <v>EGD-0026</v>
          </cell>
          <cell r="B27">
            <v>0</v>
          </cell>
          <cell r="C27">
            <v>-1</v>
          </cell>
          <cell r="D27">
            <v>4</v>
          </cell>
        </row>
        <row r="28">
          <cell r="A28" t="str">
            <v>EGD-0027</v>
          </cell>
          <cell r="B28">
            <v>-1</v>
          </cell>
          <cell r="C28">
            <v>-1</v>
          </cell>
          <cell r="D28">
            <v>3</v>
          </cell>
        </row>
        <row r="29">
          <cell r="A29" t="str">
            <v>EGD-0028</v>
          </cell>
          <cell r="B29">
            <v>-1</v>
          </cell>
          <cell r="C29">
            <v>-1</v>
          </cell>
          <cell r="D29">
            <v>4</v>
          </cell>
        </row>
        <row r="30">
          <cell r="A30" t="str">
            <v>EGD-0029</v>
          </cell>
          <cell r="B30">
            <v>1</v>
          </cell>
          <cell r="C30">
            <v>0</v>
          </cell>
          <cell r="D30">
            <v>3</v>
          </cell>
        </row>
        <row r="31">
          <cell r="A31" t="str">
            <v>EGD-0030</v>
          </cell>
          <cell r="B31">
            <v>-1</v>
          </cell>
          <cell r="C31">
            <v>-1</v>
          </cell>
          <cell r="D31">
            <v>4</v>
          </cell>
        </row>
        <row r="32">
          <cell r="A32" t="str">
            <v>EGD-0031</v>
          </cell>
          <cell r="B32">
            <v>0</v>
          </cell>
          <cell r="C32">
            <v>-1</v>
          </cell>
          <cell r="D32">
            <v>4</v>
          </cell>
        </row>
        <row r="33">
          <cell r="A33" t="str">
            <v>EGD-0032</v>
          </cell>
          <cell r="B33">
            <v>-1</v>
          </cell>
          <cell r="C33">
            <v>-1</v>
          </cell>
          <cell r="D33">
            <v>4</v>
          </cell>
        </row>
        <row r="34">
          <cell r="A34" t="str">
            <v>EGD-0033</v>
          </cell>
          <cell r="B34">
            <v>1</v>
          </cell>
          <cell r="C34">
            <v>1</v>
          </cell>
          <cell r="D34">
            <v>2</v>
          </cell>
        </row>
        <row r="35">
          <cell r="A35" t="str">
            <v>EGD-0034</v>
          </cell>
          <cell r="B35">
            <v>0</v>
          </cell>
          <cell r="C35">
            <v>-1</v>
          </cell>
          <cell r="D35">
            <v>-1</v>
          </cell>
        </row>
        <row r="36">
          <cell r="A36" t="str">
            <v>EGD-0035</v>
          </cell>
          <cell r="B36">
            <v>0</v>
          </cell>
          <cell r="C36">
            <v>-1</v>
          </cell>
          <cell r="D36">
            <v>4</v>
          </cell>
        </row>
        <row r="37">
          <cell r="A37" t="str">
            <v>EGD-0036</v>
          </cell>
          <cell r="B37">
            <v>-1</v>
          </cell>
          <cell r="C37">
            <v>-1</v>
          </cell>
          <cell r="D37">
            <v>3</v>
          </cell>
        </row>
        <row r="38">
          <cell r="A38" t="str">
            <v>EGD-0037</v>
          </cell>
          <cell r="B38">
            <v>-1</v>
          </cell>
          <cell r="C38">
            <v>-1</v>
          </cell>
          <cell r="D38">
            <v>4</v>
          </cell>
        </row>
        <row r="39">
          <cell r="A39" t="str">
            <v>EGD-0038</v>
          </cell>
          <cell r="B39">
            <v>-1</v>
          </cell>
          <cell r="C39">
            <v>-1</v>
          </cell>
          <cell r="D39">
            <v>4</v>
          </cell>
        </row>
        <row r="40">
          <cell r="A40" t="str">
            <v>EGD-0039</v>
          </cell>
          <cell r="B40">
            <v>-1</v>
          </cell>
          <cell r="C40">
            <v>-1</v>
          </cell>
          <cell r="D40">
            <v>4</v>
          </cell>
        </row>
        <row r="41">
          <cell r="A41" t="str">
            <v>EGD-0040</v>
          </cell>
          <cell r="B41">
            <v>-1</v>
          </cell>
          <cell r="C41">
            <v>-1</v>
          </cell>
          <cell r="D41">
            <v>4</v>
          </cell>
        </row>
        <row r="42">
          <cell r="A42" t="str">
            <v>EGD-0041</v>
          </cell>
          <cell r="B42">
            <v>0</v>
          </cell>
          <cell r="C42">
            <v>0</v>
          </cell>
          <cell r="D42">
            <v>2</v>
          </cell>
        </row>
        <row r="43">
          <cell r="A43" t="str">
            <v>EGD-0042</v>
          </cell>
          <cell r="B43">
            <v>-1</v>
          </cell>
          <cell r="C43">
            <v>-1</v>
          </cell>
          <cell r="D43">
            <v>4</v>
          </cell>
        </row>
        <row r="44">
          <cell r="A44" t="str">
            <v>EGD-0043</v>
          </cell>
          <cell r="B44">
            <v>-1</v>
          </cell>
          <cell r="C44">
            <v>-1</v>
          </cell>
          <cell r="D44">
            <v>4</v>
          </cell>
        </row>
        <row r="45">
          <cell r="A45" t="str">
            <v>EGD-0044</v>
          </cell>
          <cell r="B45">
            <v>-1</v>
          </cell>
          <cell r="C45">
            <v>-1</v>
          </cell>
          <cell r="D45">
            <v>4</v>
          </cell>
        </row>
        <row r="46">
          <cell r="A46" t="str">
            <v>EGD-0045</v>
          </cell>
          <cell r="B46">
            <v>0</v>
          </cell>
          <cell r="C46">
            <v>-1</v>
          </cell>
          <cell r="D46">
            <v>4</v>
          </cell>
        </row>
        <row r="47">
          <cell r="A47" t="str">
            <v>EGD-0046</v>
          </cell>
          <cell r="B47">
            <v>-1</v>
          </cell>
          <cell r="C47">
            <v>-1</v>
          </cell>
          <cell r="D47">
            <v>4</v>
          </cell>
        </row>
        <row r="48">
          <cell r="A48" t="str">
            <v>EGD-0047</v>
          </cell>
          <cell r="B48">
            <v>1</v>
          </cell>
          <cell r="C48">
            <v>0</v>
          </cell>
          <cell r="D48">
            <v>-1</v>
          </cell>
        </row>
        <row r="49">
          <cell r="A49" t="str">
            <v>EGD-0048</v>
          </cell>
          <cell r="B49">
            <v>-1</v>
          </cell>
          <cell r="C49">
            <v>-1</v>
          </cell>
          <cell r="D49">
            <v>4</v>
          </cell>
        </row>
        <row r="50">
          <cell r="A50" t="str">
            <v>EGD-0049</v>
          </cell>
          <cell r="B50">
            <v>-1</v>
          </cell>
          <cell r="C50">
            <v>-1</v>
          </cell>
          <cell r="D50">
            <v>4</v>
          </cell>
        </row>
        <row r="51">
          <cell r="A51" t="str">
            <v>EGD-0050</v>
          </cell>
          <cell r="B51">
            <v>0</v>
          </cell>
          <cell r="C51">
            <v>-1</v>
          </cell>
          <cell r="D51">
            <v>4</v>
          </cell>
        </row>
        <row r="52">
          <cell r="A52" t="str">
            <v>EGD-0051</v>
          </cell>
          <cell r="B52">
            <v>-1</v>
          </cell>
          <cell r="C52">
            <v>-1</v>
          </cell>
          <cell r="D52">
            <v>3</v>
          </cell>
        </row>
        <row r="53">
          <cell r="A53" t="str">
            <v>EGD-0052</v>
          </cell>
          <cell r="B53">
            <v>0</v>
          </cell>
          <cell r="C53">
            <v>-1</v>
          </cell>
          <cell r="D53">
            <v>4</v>
          </cell>
        </row>
        <row r="54">
          <cell r="A54" t="str">
            <v>EGD-0053</v>
          </cell>
          <cell r="B54">
            <v>0</v>
          </cell>
          <cell r="C54">
            <v>-1</v>
          </cell>
          <cell r="D54">
            <v>4</v>
          </cell>
        </row>
        <row r="55">
          <cell r="A55" t="str">
            <v>EGD-0054</v>
          </cell>
          <cell r="B55">
            <v>-1</v>
          </cell>
          <cell r="C55">
            <v>-1</v>
          </cell>
          <cell r="D55">
            <v>4</v>
          </cell>
        </row>
        <row r="56">
          <cell r="A56" t="str">
            <v>EGD-0055</v>
          </cell>
          <cell r="B56">
            <v>0</v>
          </cell>
          <cell r="C56">
            <v>0</v>
          </cell>
          <cell r="D56">
            <v>4</v>
          </cell>
        </row>
        <row r="57">
          <cell r="A57" t="str">
            <v>EGD-0056</v>
          </cell>
          <cell r="B57">
            <v>-1</v>
          </cell>
          <cell r="C57">
            <v>-1</v>
          </cell>
          <cell r="D57">
            <v>3</v>
          </cell>
        </row>
        <row r="58">
          <cell r="A58" t="str">
            <v>EGD-0057</v>
          </cell>
          <cell r="B58">
            <v>1</v>
          </cell>
          <cell r="C58">
            <v>1</v>
          </cell>
          <cell r="D58">
            <v>2</v>
          </cell>
        </row>
        <row r="59">
          <cell r="A59" t="str">
            <v>EGD-0058</v>
          </cell>
          <cell r="B59">
            <v>0</v>
          </cell>
          <cell r="C59">
            <v>-1</v>
          </cell>
          <cell r="D59">
            <v>4</v>
          </cell>
        </row>
        <row r="60">
          <cell r="A60" t="str">
            <v>EGD-0059</v>
          </cell>
          <cell r="B60">
            <v>0</v>
          </cell>
          <cell r="C60">
            <v>-1</v>
          </cell>
          <cell r="D60">
            <v>-1</v>
          </cell>
        </row>
        <row r="61">
          <cell r="A61" t="str">
            <v>EGD-0060</v>
          </cell>
          <cell r="B61">
            <v>-1</v>
          </cell>
          <cell r="C61">
            <v>-1</v>
          </cell>
          <cell r="D61">
            <v>4</v>
          </cell>
        </row>
        <row r="62">
          <cell r="A62" t="str">
            <v>EGD-0061</v>
          </cell>
          <cell r="B62">
            <v>-1</v>
          </cell>
          <cell r="C62">
            <v>-1</v>
          </cell>
          <cell r="D62">
            <v>4</v>
          </cell>
        </row>
        <row r="63">
          <cell r="A63" t="str">
            <v>EGD-0062</v>
          </cell>
          <cell r="B63">
            <v>1</v>
          </cell>
          <cell r="C63">
            <v>-1</v>
          </cell>
          <cell r="D63">
            <v>4</v>
          </cell>
        </row>
        <row r="64">
          <cell r="A64" t="str">
            <v>EGD-0063</v>
          </cell>
          <cell r="B64">
            <v>-1</v>
          </cell>
          <cell r="C64">
            <v>-1</v>
          </cell>
          <cell r="D64">
            <v>4</v>
          </cell>
        </row>
        <row r="65">
          <cell r="A65" t="str">
            <v>EGD-0064</v>
          </cell>
          <cell r="B65">
            <v>0</v>
          </cell>
          <cell r="C65">
            <v>-1</v>
          </cell>
          <cell r="D65">
            <v>4</v>
          </cell>
        </row>
        <row r="66">
          <cell r="A66" t="str">
            <v>EGD-0065</v>
          </cell>
          <cell r="B66">
            <v>-1</v>
          </cell>
          <cell r="C66">
            <v>-1</v>
          </cell>
          <cell r="D66">
            <v>4</v>
          </cell>
        </row>
        <row r="67">
          <cell r="A67" t="str">
            <v>EGD-0066</v>
          </cell>
          <cell r="B67">
            <v>1</v>
          </cell>
          <cell r="C67">
            <v>1</v>
          </cell>
          <cell r="D67">
            <v>3</v>
          </cell>
        </row>
        <row r="68">
          <cell r="A68" t="str">
            <v>EGD-0067</v>
          </cell>
          <cell r="B68">
            <v>0</v>
          </cell>
          <cell r="C68">
            <v>-1</v>
          </cell>
          <cell r="D68">
            <v>-1</v>
          </cell>
        </row>
        <row r="69">
          <cell r="A69" t="str">
            <v>EGD-0068</v>
          </cell>
          <cell r="B69">
            <v>1</v>
          </cell>
          <cell r="C69">
            <v>1</v>
          </cell>
          <cell r="D69">
            <v>2</v>
          </cell>
        </row>
        <row r="70">
          <cell r="A70" t="str">
            <v>EGD-0069</v>
          </cell>
          <cell r="B70">
            <v>-1</v>
          </cell>
          <cell r="C70">
            <v>-1</v>
          </cell>
          <cell r="D70">
            <v>4</v>
          </cell>
        </row>
        <row r="71">
          <cell r="A71" t="str">
            <v>EGD-0070</v>
          </cell>
          <cell r="B71">
            <v>-1</v>
          </cell>
          <cell r="C71">
            <v>-1</v>
          </cell>
          <cell r="D71">
            <v>4</v>
          </cell>
        </row>
        <row r="72">
          <cell r="A72" t="str">
            <v>EGD-0071</v>
          </cell>
          <cell r="B72">
            <v>-1</v>
          </cell>
          <cell r="C72">
            <v>-1</v>
          </cell>
          <cell r="D72">
            <v>3</v>
          </cell>
        </row>
        <row r="73">
          <cell r="A73" t="str">
            <v>EGD-0072</v>
          </cell>
          <cell r="B73">
            <v>1</v>
          </cell>
          <cell r="C73">
            <v>0</v>
          </cell>
          <cell r="D73">
            <v>3</v>
          </cell>
        </row>
        <row r="74">
          <cell r="A74" t="str">
            <v>EGD-0073</v>
          </cell>
          <cell r="B74">
            <v>0</v>
          </cell>
          <cell r="C74">
            <v>0</v>
          </cell>
          <cell r="D74">
            <v>4</v>
          </cell>
        </row>
        <row r="75">
          <cell r="A75" t="str">
            <v>EGD-0074</v>
          </cell>
          <cell r="B75">
            <v>1</v>
          </cell>
          <cell r="C75">
            <v>0</v>
          </cell>
          <cell r="D75">
            <v>2</v>
          </cell>
        </row>
        <row r="76">
          <cell r="A76" t="str">
            <v>EGD-0075</v>
          </cell>
          <cell r="B76">
            <v>0</v>
          </cell>
          <cell r="C76">
            <v>0</v>
          </cell>
          <cell r="D76">
            <v>4</v>
          </cell>
        </row>
        <row r="77">
          <cell r="A77" t="str">
            <v>EGD-0076</v>
          </cell>
          <cell r="B77">
            <v>-1</v>
          </cell>
          <cell r="C77">
            <v>-1</v>
          </cell>
          <cell r="D77">
            <v>3</v>
          </cell>
        </row>
        <row r="78">
          <cell r="A78" t="str">
            <v>EGD-0077</v>
          </cell>
          <cell r="B78">
            <v>-1</v>
          </cell>
          <cell r="C78">
            <v>-1</v>
          </cell>
          <cell r="D78">
            <v>4</v>
          </cell>
        </row>
        <row r="79">
          <cell r="A79" t="str">
            <v>EGD-0078</v>
          </cell>
          <cell r="B79">
            <v>1</v>
          </cell>
          <cell r="C79">
            <v>1</v>
          </cell>
          <cell r="D79">
            <v>2</v>
          </cell>
        </row>
        <row r="80">
          <cell r="A80" t="str">
            <v>EGD-0079</v>
          </cell>
          <cell r="B80">
            <v>-1</v>
          </cell>
          <cell r="C80">
            <v>-1</v>
          </cell>
          <cell r="D80">
            <v>3</v>
          </cell>
        </row>
        <row r="81">
          <cell r="A81" t="str">
            <v>EGD-0080</v>
          </cell>
          <cell r="B81">
            <v>0</v>
          </cell>
          <cell r="C81">
            <v>0</v>
          </cell>
          <cell r="D81">
            <v>4</v>
          </cell>
        </row>
        <row r="82">
          <cell r="A82" t="str">
            <v>EGD-0081</v>
          </cell>
          <cell r="B82">
            <v>0</v>
          </cell>
          <cell r="C82">
            <v>-1</v>
          </cell>
          <cell r="D82">
            <v>4</v>
          </cell>
        </row>
        <row r="83">
          <cell r="A83" t="str">
            <v>EGD-0082</v>
          </cell>
          <cell r="B83">
            <v>-1</v>
          </cell>
          <cell r="C83">
            <v>-1</v>
          </cell>
          <cell r="D83">
            <v>4</v>
          </cell>
        </row>
        <row r="84">
          <cell r="A84" t="str">
            <v>EGD-0083</v>
          </cell>
          <cell r="B84">
            <v>0</v>
          </cell>
          <cell r="C84">
            <v>-1</v>
          </cell>
          <cell r="D84">
            <v>4</v>
          </cell>
        </row>
        <row r="85">
          <cell r="A85" t="str">
            <v>EGD-0084</v>
          </cell>
          <cell r="B85">
            <v>-1</v>
          </cell>
          <cell r="C85">
            <v>-1</v>
          </cell>
          <cell r="D85">
            <v>-1</v>
          </cell>
        </row>
        <row r="86">
          <cell r="A86" t="str">
            <v>EGD-0085</v>
          </cell>
          <cell r="B86">
            <v>0</v>
          </cell>
          <cell r="C86">
            <v>0</v>
          </cell>
          <cell r="D86">
            <v>4</v>
          </cell>
        </row>
        <row r="87">
          <cell r="A87" t="str">
            <v>EGD-0086</v>
          </cell>
          <cell r="B87">
            <v>1</v>
          </cell>
          <cell r="C87">
            <v>0</v>
          </cell>
          <cell r="D87">
            <v>2</v>
          </cell>
        </row>
        <row r="88">
          <cell r="A88" t="str">
            <v>EGD-0087</v>
          </cell>
          <cell r="B88">
            <v>-1</v>
          </cell>
          <cell r="C88">
            <v>-1</v>
          </cell>
          <cell r="D88">
            <v>4</v>
          </cell>
        </row>
        <row r="89">
          <cell r="A89" t="str">
            <v>EGD-0088</v>
          </cell>
          <cell r="B89">
            <v>0</v>
          </cell>
          <cell r="C89">
            <v>-1</v>
          </cell>
          <cell r="D89">
            <v>4</v>
          </cell>
        </row>
        <row r="90">
          <cell r="A90" t="str">
            <v>EGD-0089</v>
          </cell>
          <cell r="B90">
            <v>0</v>
          </cell>
          <cell r="C90">
            <v>0</v>
          </cell>
          <cell r="D90">
            <v>-1</v>
          </cell>
        </row>
        <row r="91">
          <cell r="A91" t="str">
            <v>EGD-0090</v>
          </cell>
          <cell r="B91">
            <v>1</v>
          </cell>
          <cell r="C91">
            <v>0</v>
          </cell>
          <cell r="D91">
            <v>2</v>
          </cell>
        </row>
        <row r="92">
          <cell r="A92" t="str">
            <v>EGD-0091</v>
          </cell>
          <cell r="B92">
            <v>-1</v>
          </cell>
          <cell r="C92">
            <v>-1</v>
          </cell>
          <cell r="D92">
            <v>4</v>
          </cell>
        </row>
        <row r="93">
          <cell r="A93" t="str">
            <v>EGD-0092</v>
          </cell>
          <cell r="B93">
            <v>-1</v>
          </cell>
          <cell r="C93">
            <v>-1</v>
          </cell>
          <cell r="D93">
            <v>4</v>
          </cell>
        </row>
        <row r="94">
          <cell r="A94" t="str">
            <v>EGD-0093</v>
          </cell>
          <cell r="B94">
            <v>-1</v>
          </cell>
          <cell r="C94">
            <v>-1</v>
          </cell>
          <cell r="D94">
            <v>4</v>
          </cell>
        </row>
        <row r="95">
          <cell r="A95" t="str">
            <v>EGD-0094</v>
          </cell>
          <cell r="B95">
            <v>0</v>
          </cell>
          <cell r="C95">
            <v>-1</v>
          </cell>
          <cell r="D95">
            <v>4</v>
          </cell>
        </row>
        <row r="96">
          <cell r="A96" t="str">
            <v>EGD-0095</v>
          </cell>
          <cell r="B96">
            <v>-1</v>
          </cell>
          <cell r="C96">
            <v>-1</v>
          </cell>
          <cell r="D96">
            <v>4</v>
          </cell>
        </row>
        <row r="97">
          <cell r="A97" t="str">
            <v>EGD-0096</v>
          </cell>
          <cell r="B97">
            <v>-1</v>
          </cell>
          <cell r="C97">
            <v>-1</v>
          </cell>
          <cell r="D97">
            <v>3</v>
          </cell>
        </row>
        <row r="98">
          <cell r="A98" t="str">
            <v>EGD-0097</v>
          </cell>
          <cell r="B98">
            <v>0</v>
          </cell>
          <cell r="C98">
            <v>-1</v>
          </cell>
          <cell r="D98">
            <v>4</v>
          </cell>
        </row>
        <row r="99">
          <cell r="A99" t="str">
            <v>EGD-0098</v>
          </cell>
          <cell r="B99">
            <v>-1</v>
          </cell>
          <cell r="C99">
            <v>0</v>
          </cell>
          <cell r="D99">
            <v>2</v>
          </cell>
        </row>
        <row r="100">
          <cell r="A100" t="str">
            <v>EGD-0099</v>
          </cell>
          <cell r="B100">
            <v>0</v>
          </cell>
          <cell r="C100">
            <v>0</v>
          </cell>
          <cell r="D100">
            <v>2</v>
          </cell>
        </row>
        <row r="101">
          <cell r="A101" t="str">
            <v>EGD-0100</v>
          </cell>
          <cell r="B101">
            <v>0</v>
          </cell>
          <cell r="C101">
            <v>-1</v>
          </cell>
          <cell r="D101">
            <v>4</v>
          </cell>
        </row>
        <row r="102">
          <cell r="A102" t="str">
            <v>EGD-0101</v>
          </cell>
          <cell r="B102">
            <v>1</v>
          </cell>
          <cell r="C102">
            <v>0</v>
          </cell>
          <cell r="D102">
            <v>2</v>
          </cell>
        </row>
        <row r="103">
          <cell r="A103" t="str">
            <v>EGD-0102</v>
          </cell>
          <cell r="B103">
            <v>0</v>
          </cell>
          <cell r="C103">
            <v>-1</v>
          </cell>
          <cell r="D103">
            <v>4</v>
          </cell>
        </row>
        <row r="104">
          <cell r="A104" t="str">
            <v>EGD-0103</v>
          </cell>
          <cell r="B104">
            <v>-1</v>
          </cell>
          <cell r="C104">
            <v>0</v>
          </cell>
          <cell r="D104">
            <v>3</v>
          </cell>
        </row>
        <row r="105">
          <cell r="A105" t="str">
            <v>EGD-0104</v>
          </cell>
          <cell r="B105">
            <v>-1</v>
          </cell>
          <cell r="C105">
            <v>-1</v>
          </cell>
          <cell r="D105">
            <v>4</v>
          </cell>
        </row>
        <row r="106">
          <cell r="A106" t="str">
            <v>EGD-0105</v>
          </cell>
          <cell r="B106">
            <v>0</v>
          </cell>
          <cell r="C106">
            <v>-1</v>
          </cell>
          <cell r="D106">
            <v>4</v>
          </cell>
        </row>
        <row r="107">
          <cell r="A107" t="str">
            <v>EGD-0106</v>
          </cell>
          <cell r="B107">
            <v>1</v>
          </cell>
          <cell r="C107">
            <v>0</v>
          </cell>
          <cell r="D107">
            <v>2</v>
          </cell>
        </row>
        <row r="108">
          <cell r="A108" t="str">
            <v>EGD-0107</v>
          </cell>
          <cell r="B108">
            <v>1</v>
          </cell>
          <cell r="C108">
            <v>0</v>
          </cell>
          <cell r="D108">
            <v>4</v>
          </cell>
        </row>
        <row r="109">
          <cell r="A109" t="str">
            <v>EGD-0108</v>
          </cell>
          <cell r="B109">
            <v>-1</v>
          </cell>
          <cell r="C109">
            <v>-1</v>
          </cell>
          <cell r="D109">
            <v>4</v>
          </cell>
        </row>
        <row r="110">
          <cell r="A110" t="str">
            <v>EGD-0109</v>
          </cell>
          <cell r="B110">
            <v>0</v>
          </cell>
          <cell r="C110">
            <v>-1</v>
          </cell>
          <cell r="D110">
            <v>4</v>
          </cell>
        </row>
        <row r="111">
          <cell r="A111" t="str">
            <v>EGD-0110</v>
          </cell>
          <cell r="B111">
            <v>0</v>
          </cell>
          <cell r="C111">
            <v>-1</v>
          </cell>
          <cell r="D111">
            <v>4</v>
          </cell>
        </row>
        <row r="112">
          <cell r="A112" t="str">
            <v>EGD-0111</v>
          </cell>
          <cell r="B112">
            <v>0</v>
          </cell>
          <cell r="C112">
            <v>-1</v>
          </cell>
          <cell r="D112">
            <v>4</v>
          </cell>
        </row>
        <row r="113">
          <cell r="A113" t="str">
            <v>EGD-0112</v>
          </cell>
          <cell r="B113">
            <v>0</v>
          </cell>
          <cell r="C113">
            <v>-1</v>
          </cell>
          <cell r="D113">
            <v>4</v>
          </cell>
        </row>
        <row r="114">
          <cell r="A114" t="str">
            <v>EGD-0113</v>
          </cell>
          <cell r="B114">
            <v>-1</v>
          </cell>
          <cell r="C114">
            <v>-1</v>
          </cell>
          <cell r="D114">
            <v>4</v>
          </cell>
        </row>
        <row r="115">
          <cell r="A115" t="str">
            <v>EGD-0114</v>
          </cell>
          <cell r="B115">
            <v>0</v>
          </cell>
          <cell r="C115">
            <v>-1</v>
          </cell>
          <cell r="D115">
            <v>4</v>
          </cell>
        </row>
        <row r="116">
          <cell r="A116" t="str">
            <v>EGD-0115</v>
          </cell>
          <cell r="B116">
            <v>0</v>
          </cell>
          <cell r="C116">
            <v>0</v>
          </cell>
          <cell r="D116">
            <v>4</v>
          </cell>
        </row>
        <row r="117">
          <cell r="A117" t="str">
            <v>EGD-0116</v>
          </cell>
          <cell r="B117">
            <v>-1</v>
          </cell>
          <cell r="C117">
            <v>-1</v>
          </cell>
          <cell r="D117">
            <v>4</v>
          </cell>
        </row>
        <row r="118">
          <cell r="A118" t="str">
            <v>EGD-0117</v>
          </cell>
          <cell r="B118">
            <v>0</v>
          </cell>
          <cell r="C118">
            <v>-1</v>
          </cell>
          <cell r="D118">
            <v>-1</v>
          </cell>
        </row>
        <row r="119">
          <cell r="A119" t="str">
            <v>EGD-0118</v>
          </cell>
          <cell r="B119">
            <v>1</v>
          </cell>
          <cell r="C119">
            <v>0</v>
          </cell>
          <cell r="D119">
            <v>2</v>
          </cell>
        </row>
        <row r="120">
          <cell r="A120" t="str">
            <v>EGD-0119</v>
          </cell>
          <cell r="B120">
            <v>-1</v>
          </cell>
          <cell r="C120">
            <v>-1</v>
          </cell>
          <cell r="D120">
            <v>4</v>
          </cell>
        </row>
        <row r="121">
          <cell r="A121" t="str">
            <v>EGD-0120</v>
          </cell>
          <cell r="B121">
            <v>-1</v>
          </cell>
          <cell r="C121">
            <v>-1</v>
          </cell>
          <cell r="D121">
            <v>4</v>
          </cell>
        </row>
        <row r="122">
          <cell r="A122" t="str">
            <v>EGD-0121</v>
          </cell>
          <cell r="B122">
            <v>0</v>
          </cell>
          <cell r="C122">
            <v>-1</v>
          </cell>
          <cell r="D122">
            <v>4</v>
          </cell>
        </row>
        <row r="123">
          <cell r="A123" t="str">
            <v>EGD-0122</v>
          </cell>
          <cell r="B123">
            <v>1</v>
          </cell>
          <cell r="C123">
            <v>0</v>
          </cell>
          <cell r="D123">
            <v>2</v>
          </cell>
        </row>
        <row r="124">
          <cell r="A124" t="str">
            <v>EGD-0123</v>
          </cell>
          <cell r="B124">
            <v>1</v>
          </cell>
          <cell r="C124">
            <v>1</v>
          </cell>
          <cell r="D124">
            <v>2</v>
          </cell>
        </row>
        <row r="125">
          <cell r="A125" t="str">
            <v>EGD-0124</v>
          </cell>
          <cell r="B125">
            <v>-1</v>
          </cell>
          <cell r="C125">
            <v>-1</v>
          </cell>
          <cell r="D125">
            <v>3</v>
          </cell>
        </row>
        <row r="126">
          <cell r="A126" t="str">
            <v>EGD-0125</v>
          </cell>
          <cell r="B126">
            <v>-1</v>
          </cell>
          <cell r="C126">
            <v>-1</v>
          </cell>
          <cell r="D126">
            <v>4</v>
          </cell>
        </row>
        <row r="127">
          <cell r="A127" t="str">
            <v>EGD-0126</v>
          </cell>
          <cell r="B127">
            <v>0</v>
          </cell>
          <cell r="C127">
            <v>-1</v>
          </cell>
          <cell r="D127">
            <v>4</v>
          </cell>
        </row>
        <row r="128">
          <cell r="A128" t="str">
            <v>EGD-0127</v>
          </cell>
          <cell r="B128">
            <v>0</v>
          </cell>
          <cell r="C128">
            <v>-1</v>
          </cell>
          <cell r="D128">
            <v>4</v>
          </cell>
        </row>
        <row r="129">
          <cell r="A129" t="str">
            <v>EGD-0128</v>
          </cell>
          <cell r="B129">
            <v>1</v>
          </cell>
          <cell r="C129">
            <v>0</v>
          </cell>
          <cell r="D129">
            <v>2</v>
          </cell>
        </row>
        <row r="130">
          <cell r="A130" t="str">
            <v>EGD-0129</v>
          </cell>
          <cell r="B130">
            <v>-1</v>
          </cell>
          <cell r="C130">
            <v>-1</v>
          </cell>
          <cell r="D130">
            <v>4</v>
          </cell>
        </row>
        <row r="131">
          <cell r="A131" t="str">
            <v>EGD-0130</v>
          </cell>
          <cell r="B131">
            <v>-1</v>
          </cell>
          <cell r="C131">
            <v>-1</v>
          </cell>
          <cell r="D131">
            <v>4</v>
          </cell>
        </row>
        <row r="132">
          <cell r="A132" t="str">
            <v>EGD-0131</v>
          </cell>
          <cell r="B132">
            <v>0</v>
          </cell>
          <cell r="C132">
            <v>-1</v>
          </cell>
          <cell r="D132">
            <v>4</v>
          </cell>
        </row>
        <row r="133">
          <cell r="A133" t="str">
            <v>EGD-0132</v>
          </cell>
          <cell r="B133">
            <v>0</v>
          </cell>
          <cell r="C133">
            <v>-1</v>
          </cell>
          <cell r="D133">
            <v>4</v>
          </cell>
        </row>
        <row r="134">
          <cell r="A134" t="str">
            <v>EGD-0133</v>
          </cell>
          <cell r="B134">
            <v>1</v>
          </cell>
          <cell r="C134">
            <v>1</v>
          </cell>
          <cell r="D134">
            <v>2</v>
          </cell>
        </row>
        <row r="135">
          <cell r="A135" t="str">
            <v>EGD-0134</v>
          </cell>
          <cell r="B135">
            <v>0</v>
          </cell>
          <cell r="C135">
            <v>-1</v>
          </cell>
          <cell r="D135">
            <v>4</v>
          </cell>
        </row>
        <row r="136">
          <cell r="A136" t="str">
            <v>EGD-0135</v>
          </cell>
          <cell r="B136">
            <v>-1</v>
          </cell>
          <cell r="C136">
            <v>-1</v>
          </cell>
          <cell r="D136">
            <v>4</v>
          </cell>
        </row>
        <row r="137">
          <cell r="A137" t="str">
            <v>EGD-0136</v>
          </cell>
          <cell r="B137">
            <v>-1</v>
          </cell>
          <cell r="C137">
            <v>-1</v>
          </cell>
          <cell r="D137">
            <v>4</v>
          </cell>
        </row>
        <row r="138">
          <cell r="A138" t="str">
            <v>EGD-0137</v>
          </cell>
          <cell r="B138">
            <v>1</v>
          </cell>
          <cell r="C138">
            <v>1</v>
          </cell>
          <cell r="D138">
            <v>2</v>
          </cell>
        </row>
        <row r="139">
          <cell r="A139" t="str">
            <v>EGD-0138</v>
          </cell>
          <cell r="B139">
            <v>-1</v>
          </cell>
          <cell r="C139">
            <v>-1</v>
          </cell>
          <cell r="D139">
            <v>4</v>
          </cell>
        </row>
        <row r="140">
          <cell r="A140" t="str">
            <v>EGD-0139</v>
          </cell>
          <cell r="B140">
            <v>-1</v>
          </cell>
          <cell r="C140">
            <v>-1</v>
          </cell>
          <cell r="D140">
            <v>4</v>
          </cell>
        </row>
        <row r="141">
          <cell r="A141" t="str">
            <v>EGD-0140</v>
          </cell>
          <cell r="B141">
            <v>-1</v>
          </cell>
          <cell r="C141">
            <v>-1</v>
          </cell>
          <cell r="D141">
            <v>4</v>
          </cell>
        </row>
        <row r="142">
          <cell r="A142" t="str">
            <v>EGD-0141</v>
          </cell>
          <cell r="B142">
            <v>0</v>
          </cell>
          <cell r="C142">
            <v>-1</v>
          </cell>
          <cell r="D142">
            <v>4</v>
          </cell>
        </row>
        <row r="143">
          <cell r="A143" t="str">
            <v>EGD-0142</v>
          </cell>
          <cell r="B143">
            <v>-1</v>
          </cell>
          <cell r="C143">
            <v>-1</v>
          </cell>
          <cell r="D143">
            <v>4</v>
          </cell>
        </row>
        <row r="144">
          <cell r="A144" t="str">
            <v>EGD-0143</v>
          </cell>
          <cell r="B144">
            <v>1</v>
          </cell>
          <cell r="C144">
            <v>1</v>
          </cell>
          <cell r="D144">
            <v>2</v>
          </cell>
        </row>
        <row r="145">
          <cell r="A145" t="str">
            <v>EGD-0144</v>
          </cell>
          <cell r="B145">
            <v>0</v>
          </cell>
          <cell r="C145">
            <v>0</v>
          </cell>
          <cell r="D145">
            <v>4</v>
          </cell>
        </row>
        <row r="146">
          <cell r="A146" t="str">
            <v>EGD-0145</v>
          </cell>
          <cell r="B146">
            <v>1</v>
          </cell>
          <cell r="C146">
            <v>0</v>
          </cell>
          <cell r="D146">
            <v>2</v>
          </cell>
        </row>
        <row r="147">
          <cell r="A147" t="str">
            <v>EGD-0146</v>
          </cell>
          <cell r="B147">
            <v>1</v>
          </cell>
          <cell r="C147">
            <v>1</v>
          </cell>
          <cell r="D147">
            <v>3</v>
          </cell>
        </row>
        <row r="148">
          <cell r="A148" t="str">
            <v>EGD-0147</v>
          </cell>
          <cell r="B148">
            <v>-1</v>
          </cell>
          <cell r="C148">
            <v>-1</v>
          </cell>
          <cell r="D148">
            <v>4</v>
          </cell>
        </row>
        <row r="149">
          <cell r="A149" t="str">
            <v>EGD-0148</v>
          </cell>
          <cell r="B149">
            <v>-1</v>
          </cell>
          <cell r="C149">
            <v>-1</v>
          </cell>
          <cell r="D149">
            <v>4</v>
          </cell>
        </row>
        <row r="150">
          <cell r="A150" t="str">
            <v>EGD-0149</v>
          </cell>
          <cell r="B150">
            <v>-1</v>
          </cell>
          <cell r="C150">
            <v>-1</v>
          </cell>
          <cell r="D150">
            <v>4</v>
          </cell>
        </row>
        <row r="151">
          <cell r="A151" t="str">
            <v>EGD-0150</v>
          </cell>
          <cell r="B151">
            <v>-1</v>
          </cell>
          <cell r="C151">
            <v>-1</v>
          </cell>
          <cell r="D151">
            <v>4</v>
          </cell>
        </row>
        <row r="152">
          <cell r="A152" t="str">
            <v>EGD-0151</v>
          </cell>
          <cell r="B152">
            <v>-1</v>
          </cell>
          <cell r="C152">
            <v>-1</v>
          </cell>
          <cell r="D152">
            <v>4</v>
          </cell>
        </row>
        <row r="153">
          <cell r="A153" t="str">
            <v>EGD-0152</v>
          </cell>
          <cell r="B153">
            <v>0</v>
          </cell>
          <cell r="C153">
            <v>-1</v>
          </cell>
          <cell r="D153">
            <v>4</v>
          </cell>
        </row>
        <row r="154">
          <cell r="A154" t="str">
            <v>EGD-0153</v>
          </cell>
          <cell r="B154">
            <v>-1</v>
          </cell>
          <cell r="C154">
            <v>0</v>
          </cell>
          <cell r="D154">
            <v>3</v>
          </cell>
        </row>
        <row r="155">
          <cell r="A155" t="str">
            <v>EGD-0154</v>
          </cell>
          <cell r="B155">
            <v>-1</v>
          </cell>
          <cell r="C155">
            <v>-1</v>
          </cell>
          <cell r="D155">
            <v>4</v>
          </cell>
        </row>
        <row r="156">
          <cell r="A156" t="str">
            <v>EGD-0155</v>
          </cell>
          <cell r="B156">
            <v>0</v>
          </cell>
          <cell r="C156">
            <v>-1</v>
          </cell>
          <cell r="D156">
            <v>4</v>
          </cell>
        </row>
        <row r="157">
          <cell r="A157" t="str">
            <v>EGD-0156</v>
          </cell>
          <cell r="B157">
            <v>0</v>
          </cell>
          <cell r="C157">
            <v>-1</v>
          </cell>
          <cell r="D157">
            <v>4</v>
          </cell>
        </row>
        <row r="158">
          <cell r="A158" t="str">
            <v>EGD-0157</v>
          </cell>
          <cell r="B158">
            <v>-1</v>
          </cell>
          <cell r="C158">
            <v>-1</v>
          </cell>
          <cell r="D158">
            <v>4</v>
          </cell>
        </row>
        <row r="159">
          <cell r="A159" t="str">
            <v>EGD-0158</v>
          </cell>
          <cell r="B159">
            <v>0</v>
          </cell>
          <cell r="C159">
            <v>-1</v>
          </cell>
          <cell r="D159">
            <v>4</v>
          </cell>
        </row>
        <row r="160">
          <cell r="A160" t="str">
            <v>EGD-0159</v>
          </cell>
          <cell r="B160">
            <v>-1</v>
          </cell>
          <cell r="C160">
            <v>-1</v>
          </cell>
          <cell r="D160">
            <v>4</v>
          </cell>
        </row>
        <row r="161">
          <cell r="A161" t="str">
            <v>EGD-0160</v>
          </cell>
          <cell r="B161">
            <v>1</v>
          </cell>
          <cell r="C161">
            <v>0</v>
          </cell>
          <cell r="D161">
            <v>3</v>
          </cell>
        </row>
        <row r="162">
          <cell r="A162" t="str">
            <v>EGD-0161</v>
          </cell>
          <cell r="B162">
            <v>0</v>
          </cell>
          <cell r="C162">
            <v>0</v>
          </cell>
          <cell r="D162">
            <v>2</v>
          </cell>
        </row>
        <row r="163">
          <cell r="A163" t="str">
            <v>EGD-0162</v>
          </cell>
          <cell r="B163">
            <v>1</v>
          </cell>
          <cell r="C163">
            <v>1</v>
          </cell>
          <cell r="D163">
            <v>2</v>
          </cell>
        </row>
        <row r="164">
          <cell r="A164" t="str">
            <v>EGD-0163</v>
          </cell>
          <cell r="B164">
            <v>-1</v>
          </cell>
          <cell r="C164">
            <v>-1</v>
          </cell>
          <cell r="D164">
            <v>4</v>
          </cell>
        </row>
        <row r="165">
          <cell r="A165" t="str">
            <v>EGD-0164</v>
          </cell>
          <cell r="B165">
            <v>-1</v>
          </cell>
          <cell r="C165">
            <v>-1</v>
          </cell>
          <cell r="D165">
            <v>4</v>
          </cell>
        </row>
        <row r="166">
          <cell r="A166" t="str">
            <v>EGD-0165</v>
          </cell>
          <cell r="B166">
            <v>0</v>
          </cell>
          <cell r="C166">
            <v>0</v>
          </cell>
          <cell r="D166">
            <v>4</v>
          </cell>
        </row>
        <row r="167">
          <cell r="A167" t="str">
            <v>EGD-0166</v>
          </cell>
          <cell r="B167">
            <v>0</v>
          </cell>
          <cell r="C167">
            <v>-1</v>
          </cell>
          <cell r="D167">
            <v>4</v>
          </cell>
        </row>
        <row r="168">
          <cell r="A168" t="str">
            <v>EGD-0167</v>
          </cell>
          <cell r="B168">
            <v>0</v>
          </cell>
          <cell r="C168">
            <v>-1</v>
          </cell>
          <cell r="D168">
            <v>4</v>
          </cell>
        </row>
        <row r="169">
          <cell r="A169" t="str">
            <v>EGD-0168</v>
          </cell>
          <cell r="B169">
            <v>0</v>
          </cell>
          <cell r="C169">
            <v>-1</v>
          </cell>
          <cell r="D169">
            <v>4</v>
          </cell>
        </row>
        <row r="170">
          <cell r="A170" t="str">
            <v>EGD-0169</v>
          </cell>
          <cell r="B170">
            <v>-1</v>
          </cell>
          <cell r="C170">
            <v>-1</v>
          </cell>
          <cell r="D170">
            <v>3</v>
          </cell>
        </row>
        <row r="171">
          <cell r="A171" t="str">
            <v>EGD-0170</v>
          </cell>
          <cell r="B171">
            <v>-1</v>
          </cell>
          <cell r="C171">
            <v>-1</v>
          </cell>
          <cell r="D171">
            <v>3</v>
          </cell>
        </row>
        <row r="172">
          <cell r="A172" t="str">
            <v>EGD-0171</v>
          </cell>
          <cell r="B172">
            <v>0</v>
          </cell>
          <cell r="C172">
            <v>-1</v>
          </cell>
          <cell r="D172">
            <v>4</v>
          </cell>
        </row>
        <row r="173">
          <cell r="A173" t="str">
            <v>EGD-0172</v>
          </cell>
          <cell r="B173">
            <v>0</v>
          </cell>
          <cell r="C173">
            <v>-1</v>
          </cell>
          <cell r="D173">
            <v>4</v>
          </cell>
        </row>
        <row r="174">
          <cell r="A174" t="str">
            <v>EGD-0173</v>
          </cell>
          <cell r="B174">
            <v>-1</v>
          </cell>
          <cell r="C174">
            <v>-1</v>
          </cell>
          <cell r="D174">
            <v>4</v>
          </cell>
        </row>
        <row r="175">
          <cell r="A175" t="str">
            <v>EGD-0174</v>
          </cell>
          <cell r="B175">
            <v>-1</v>
          </cell>
          <cell r="C175">
            <v>-1</v>
          </cell>
          <cell r="D175">
            <v>4</v>
          </cell>
        </row>
        <row r="176">
          <cell r="A176" t="str">
            <v>EGD-0175</v>
          </cell>
          <cell r="B176">
            <v>-1</v>
          </cell>
          <cell r="C176">
            <v>-1</v>
          </cell>
          <cell r="D176">
            <v>3</v>
          </cell>
        </row>
        <row r="177">
          <cell r="A177" t="str">
            <v>EGD-0176</v>
          </cell>
          <cell r="B177">
            <v>0</v>
          </cell>
          <cell r="C177">
            <v>0</v>
          </cell>
          <cell r="D177">
            <v>4</v>
          </cell>
        </row>
        <row r="178">
          <cell r="A178" t="str">
            <v>EGD-0177</v>
          </cell>
          <cell r="B178">
            <v>1</v>
          </cell>
          <cell r="C178">
            <v>1</v>
          </cell>
          <cell r="D178">
            <v>3</v>
          </cell>
        </row>
        <row r="179">
          <cell r="A179" t="str">
            <v>EGD-0178</v>
          </cell>
          <cell r="B179">
            <v>-1</v>
          </cell>
          <cell r="C179">
            <v>-1</v>
          </cell>
          <cell r="D179">
            <v>4</v>
          </cell>
        </row>
        <row r="180">
          <cell r="A180" t="str">
            <v>EGD-0179</v>
          </cell>
          <cell r="B180">
            <v>1</v>
          </cell>
          <cell r="C180">
            <v>1</v>
          </cell>
          <cell r="D180">
            <v>2</v>
          </cell>
        </row>
        <row r="181">
          <cell r="A181" t="str">
            <v>EGD-0180</v>
          </cell>
          <cell r="B181">
            <v>-1</v>
          </cell>
          <cell r="C181">
            <v>-1</v>
          </cell>
          <cell r="D181">
            <v>3</v>
          </cell>
        </row>
        <row r="182">
          <cell r="A182" t="str">
            <v>EGD-0181</v>
          </cell>
          <cell r="B182">
            <v>-1</v>
          </cell>
          <cell r="C182">
            <v>-1</v>
          </cell>
          <cell r="D182">
            <v>4</v>
          </cell>
        </row>
        <row r="183">
          <cell r="A183" t="str">
            <v>EGD-0182</v>
          </cell>
          <cell r="B183">
            <v>0</v>
          </cell>
          <cell r="C183">
            <v>-1</v>
          </cell>
          <cell r="D183">
            <v>4</v>
          </cell>
        </row>
        <row r="184">
          <cell r="A184" t="str">
            <v>EGD-0183</v>
          </cell>
          <cell r="B184">
            <v>0</v>
          </cell>
          <cell r="C184">
            <v>0</v>
          </cell>
          <cell r="D184">
            <v>4</v>
          </cell>
        </row>
        <row r="185">
          <cell r="A185" t="str">
            <v>EGD-0184</v>
          </cell>
          <cell r="B185">
            <v>-1</v>
          </cell>
          <cell r="C185">
            <v>-1</v>
          </cell>
          <cell r="D185">
            <v>4</v>
          </cell>
        </row>
        <row r="186">
          <cell r="A186" t="str">
            <v>EGD-0185</v>
          </cell>
          <cell r="B186">
            <v>1</v>
          </cell>
          <cell r="C186">
            <v>0</v>
          </cell>
          <cell r="D186">
            <v>2</v>
          </cell>
        </row>
        <row r="187">
          <cell r="A187" t="str">
            <v>EGD-0186</v>
          </cell>
          <cell r="B187">
            <v>1</v>
          </cell>
          <cell r="C187">
            <v>1</v>
          </cell>
          <cell r="D187">
            <v>2</v>
          </cell>
        </row>
        <row r="188">
          <cell r="A188" t="str">
            <v>EGD-0187</v>
          </cell>
          <cell r="B188">
            <v>1</v>
          </cell>
          <cell r="C188">
            <v>1</v>
          </cell>
          <cell r="D188">
            <v>2</v>
          </cell>
        </row>
        <row r="189">
          <cell r="A189" t="str">
            <v>EGD-0188</v>
          </cell>
          <cell r="B189">
            <v>1</v>
          </cell>
          <cell r="C189">
            <v>0</v>
          </cell>
          <cell r="D189">
            <v>3</v>
          </cell>
        </row>
        <row r="190">
          <cell r="A190" t="str">
            <v>EGD-0189</v>
          </cell>
          <cell r="B190">
            <v>-1</v>
          </cell>
          <cell r="C190">
            <v>-1</v>
          </cell>
          <cell r="D190">
            <v>4</v>
          </cell>
        </row>
        <row r="191">
          <cell r="A191" t="str">
            <v>EGD-0190</v>
          </cell>
          <cell r="B191">
            <v>-1</v>
          </cell>
          <cell r="C191">
            <v>-1</v>
          </cell>
          <cell r="D191">
            <v>4</v>
          </cell>
        </row>
        <row r="192">
          <cell r="A192" t="str">
            <v>EGD-0191</v>
          </cell>
          <cell r="B192">
            <v>1</v>
          </cell>
          <cell r="C192">
            <v>0</v>
          </cell>
          <cell r="D192">
            <v>-1</v>
          </cell>
        </row>
        <row r="193">
          <cell r="A193" t="str">
            <v>EGD-0192</v>
          </cell>
          <cell r="B193">
            <v>0</v>
          </cell>
          <cell r="C193">
            <v>0</v>
          </cell>
          <cell r="D193">
            <v>4</v>
          </cell>
        </row>
        <row r="194">
          <cell r="A194" t="str">
            <v>EGD-0193</v>
          </cell>
          <cell r="B194">
            <v>0</v>
          </cell>
          <cell r="C194">
            <v>0</v>
          </cell>
          <cell r="D194">
            <v>4</v>
          </cell>
        </row>
        <row r="195">
          <cell r="A195" t="str">
            <v>EGD-0194</v>
          </cell>
          <cell r="B195">
            <v>1</v>
          </cell>
          <cell r="C195">
            <v>1</v>
          </cell>
          <cell r="D195">
            <v>2</v>
          </cell>
        </row>
        <row r="196">
          <cell r="A196" t="str">
            <v>EGD-0195</v>
          </cell>
          <cell r="B196">
            <v>-1</v>
          </cell>
          <cell r="C196">
            <v>-1</v>
          </cell>
          <cell r="D196">
            <v>4</v>
          </cell>
        </row>
        <row r="197">
          <cell r="A197" t="str">
            <v>EGD-0196</v>
          </cell>
          <cell r="B197">
            <v>0</v>
          </cell>
          <cell r="C197">
            <v>0</v>
          </cell>
          <cell r="D197">
            <v>4</v>
          </cell>
        </row>
        <row r="198">
          <cell r="A198" t="str">
            <v>EGD-0197</v>
          </cell>
          <cell r="B198">
            <v>0</v>
          </cell>
          <cell r="C198">
            <v>0</v>
          </cell>
          <cell r="D198">
            <v>4</v>
          </cell>
        </row>
        <row r="199">
          <cell r="A199" t="str">
            <v>EGD-0198</v>
          </cell>
          <cell r="B199">
            <v>0</v>
          </cell>
          <cell r="C199">
            <v>0</v>
          </cell>
          <cell r="D199">
            <v>4</v>
          </cell>
        </row>
        <row r="200">
          <cell r="A200" t="str">
            <v>EGD-0199</v>
          </cell>
          <cell r="B200">
            <v>1</v>
          </cell>
          <cell r="C200">
            <v>1</v>
          </cell>
          <cell r="D200">
            <v>2</v>
          </cell>
        </row>
        <row r="201">
          <cell r="A201" t="str">
            <v>EGD-0200</v>
          </cell>
          <cell r="B201">
            <v>-1</v>
          </cell>
          <cell r="C201">
            <v>-1</v>
          </cell>
          <cell r="D201">
            <v>4</v>
          </cell>
        </row>
        <row r="202">
          <cell r="A202" t="str">
            <v>EGD-0201</v>
          </cell>
          <cell r="B202">
            <v>-1</v>
          </cell>
          <cell r="C202">
            <v>-1</v>
          </cell>
          <cell r="D202">
            <v>4</v>
          </cell>
        </row>
        <row r="203">
          <cell r="A203" t="str">
            <v>EGD-0202</v>
          </cell>
          <cell r="B203">
            <v>0</v>
          </cell>
          <cell r="C203">
            <v>0</v>
          </cell>
          <cell r="D203">
            <v>4</v>
          </cell>
        </row>
        <row r="204">
          <cell r="A204" t="str">
            <v>EGD-0203</v>
          </cell>
          <cell r="B204">
            <v>1</v>
          </cell>
          <cell r="C204">
            <v>0</v>
          </cell>
          <cell r="D204">
            <v>2</v>
          </cell>
        </row>
        <row r="205">
          <cell r="A205" t="str">
            <v>EGD-0204</v>
          </cell>
          <cell r="B205">
            <v>0</v>
          </cell>
          <cell r="C205">
            <v>-1</v>
          </cell>
          <cell r="D205">
            <v>4</v>
          </cell>
        </row>
        <row r="206">
          <cell r="A206" t="str">
            <v>EGD-0205</v>
          </cell>
          <cell r="B206">
            <v>-1</v>
          </cell>
          <cell r="C206">
            <v>-1</v>
          </cell>
          <cell r="D206">
            <v>4</v>
          </cell>
        </row>
        <row r="207">
          <cell r="A207" t="str">
            <v>EGD-0206</v>
          </cell>
          <cell r="B207">
            <v>0</v>
          </cell>
          <cell r="C207">
            <v>-1</v>
          </cell>
          <cell r="D207">
            <v>4</v>
          </cell>
        </row>
        <row r="208">
          <cell r="A208" t="str">
            <v>EGD-0207</v>
          </cell>
          <cell r="B208">
            <v>-1</v>
          </cell>
          <cell r="C208">
            <v>-1</v>
          </cell>
          <cell r="D208">
            <v>4</v>
          </cell>
        </row>
        <row r="209">
          <cell r="A209" t="str">
            <v>EGD-0208</v>
          </cell>
          <cell r="B209">
            <v>1</v>
          </cell>
          <cell r="C209">
            <v>0</v>
          </cell>
          <cell r="D209">
            <v>2</v>
          </cell>
        </row>
        <row r="210">
          <cell r="A210" t="str">
            <v>EGD-0209</v>
          </cell>
          <cell r="B210">
            <v>-1</v>
          </cell>
          <cell r="C210">
            <v>-1</v>
          </cell>
          <cell r="D210">
            <v>4</v>
          </cell>
        </row>
        <row r="211">
          <cell r="A211" t="str">
            <v>EGD-0210</v>
          </cell>
          <cell r="B211">
            <v>-1</v>
          </cell>
          <cell r="C211">
            <v>0</v>
          </cell>
          <cell r="D211">
            <v>-1</v>
          </cell>
        </row>
        <row r="212">
          <cell r="A212" t="str">
            <v>EGD-0211</v>
          </cell>
          <cell r="B212">
            <v>1</v>
          </cell>
          <cell r="C212">
            <v>0</v>
          </cell>
          <cell r="D212">
            <v>2</v>
          </cell>
        </row>
        <row r="213">
          <cell r="A213" t="str">
            <v>EGD-0212</v>
          </cell>
          <cell r="B213">
            <v>-1</v>
          </cell>
          <cell r="C213">
            <v>-1</v>
          </cell>
          <cell r="D213">
            <v>4</v>
          </cell>
        </row>
        <row r="214">
          <cell r="A214" t="str">
            <v>EGD-0213</v>
          </cell>
          <cell r="B214">
            <v>0</v>
          </cell>
          <cell r="C214">
            <v>-1</v>
          </cell>
          <cell r="D214">
            <v>4</v>
          </cell>
        </row>
        <row r="215">
          <cell r="A215" t="str">
            <v>EGD-0214</v>
          </cell>
          <cell r="B215">
            <v>1</v>
          </cell>
          <cell r="C215">
            <v>1</v>
          </cell>
          <cell r="D215">
            <v>2</v>
          </cell>
        </row>
        <row r="216">
          <cell r="A216" t="str">
            <v>EGD-0215</v>
          </cell>
          <cell r="B216">
            <v>0</v>
          </cell>
          <cell r="C216">
            <v>-1</v>
          </cell>
          <cell r="D216">
            <v>4</v>
          </cell>
        </row>
        <row r="217">
          <cell r="A217" t="str">
            <v>EGD-0216</v>
          </cell>
          <cell r="B217">
            <v>0</v>
          </cell>
          <cell r="C217">
            <v>-1</v>
          </cell>
          <cell r="D217">
            <v>4</v>
          </cell>
        </row>
        <row r="218">
          <cell r="A218" t="str">
            <v>EGD-0217</v>
          </cell>
          <cell r="B218">
            <v>1</v>
          </cell>
          <cell r="C218">
            <v>1</v>
          </cell>
          <cell r="D218">
            <v>2</v>
          </cell>
        </row>
        <row r="219">
          <cell r="A219" t="str">
            <v>EGD-0218</v>
          </cell>
          <cell r="B219">
            <v>0</v>
          </cell>
          <cell r="C219">
            <v>-1</v>
          </cell>
          <cell r="D219">
            <v>4</v>
          </cell>
        </row>
        <row r="220">
          <cell r="A220" t="str">
            <v>EGD-0219</v>
          </cell>
          <cell r="B220">
            <v>0</v>
          </cell>
          <cell r="C220">
            <v>-1</v>
          </cell>
          <cell r="D220">
            <v>4</v>
          </cell>
        </row>
        <row r="221">
          <cell r="A221" t="str">
            <v>EGD-0220</v>
          </cell>
          <cell r="B221">
            <v>-1</v>
          </cell>
          <cell r="C221">
            <v>-1</v>
          </cell>
          <cell r="D221">
            <v>4</v>
          </cell>
        </row>
        <row r="222">
          <cell r="A222" t="str">
            <v>EGD-0221</v>
          </cell>
          <cell r="B222">
            <v>1</v>
          </cell>
          <cell r="C222">
            <v>1</v>
          </cell>
          <cell r="D222">
            <v>2</v>
          </cell>
        </row>
        <row r="223">
          <cell r="A223" t="str">
            <v>EGD-0222</v>
          </cell>
          <cell r="B223">
            <v>0</v>
          </cell>
          <cell r="C223">
            <v>-1</v>
          </cell>
          <cell r="D223">
            <v>4</v>
          </cell>
        </row>
        <row r="224">
          <cell r="A224" t="str">
            <v>EGD-0223</v>
          </cell>
          <cell r="B224">
            <v>0</v>
          </cell>
          <cell r="C224">
            <v>-1</v>
          </cell>
          <cell r="D224">
            <v>4</v>
          </cell>
        </row>
        <row r="225">
          <cell r="A225" t="str">
            <v>EGD-0224</v>
          </cell>
          <cell r="B225">
            <v>0</v>
          </cell>
          <cell r="C225">
            <v>-1</v>
          </cell>
          <cell r="D225">
            <v>4</v>
          </cell>
        </row>
        <row r="226">
          <cell r="A226" t="str">
            <v>EGD-0225</v>
          </cell>
          <cell r="B226">
            <v>-1</v>
          </cell>
          <cell r="C226">
            <v>-1</v>
          </cell>
          <cell r="D226">
            <v>4</v>
          </cell>
        </row>
        <row r="227">
          <cell r="A227" t="str">
            <v>EGD-0226</v>
          </cell>
          <cell r="B227">
            <v>0</v>
          </cell>
          <cell r="C227">
            <v>0</v>
          </cell>
          <cell r="D227">
            <v>4</v>
          </cell>
        </row>
        <row r="228">
          <cell r="A228" t="str">
            <v>EGD-0227</v>
          </cell>
          <cell r="B228">
            <v>1</v>
          </cell>
          <cell r="C228">
            <v>0</v>
          </cell>
          <cell r="D228">
            <v>-1</v>
          </cell>
        </row>
        <row r="229">
          <cell r="A229" t="str">
            <v>EGD-0228</v>
          </cell>
          <cell r="B229">
            <v>1</v>
          </cell>
          <cell r="C229">
            <v>1</v>
          </cell>
          <cell r="D229">
            <v>2</v>
          </cell>
        </row>
        <row r="230">
          <cell r="A230" t="str">
            <v>EGD-0229</v>
          </cell>
          <cell r="B230">
            <v>1</v>
          </cell>
          <cell r="C230">
            <v>0</v>
          </cell>
          <cell r="D230">
            <v>2</v>
          </cell>
        </row>
        <row r="231">
          <cell r="A231" t="str">
            <v>EGD-0230</v>
          </cell>
          <cell r="B231">
            <v>1</v>
          </cell>
          <cell r="C231">
            <v>0</v>
          </cell>
          <cell r="D231">
            <v>2</v>
          </cell>
        </row>
        <row r="232">
          <cell r="A232" t="str">
            <v>EGD-0231</v>
          </cell>
          <cell r="B232">
            <v>-1</v>
          </cell>
          <cell r="C232">
            <v>-1</v>
          </cell>
          <cell r="D232">
            <v>3</v>
          </cell>
        </row>
        <row r="233">
          <cell r="A233" t="str">
            <v>EGD-0232</v>
          </cell>
          <cell r="B233">
            <v>0</v>
          </cell>
          <cell r="C233">
            <v>-1</v>
          </cell>
          <cell r="D233">
            <v>4</v>
          </cell>
        </row>
        <row r="234">
          <cell r="A234" t="str">
            <v>EGD-0233</v>
          </cell>
          <cell r="B234">
            <v>1</v>
          </cell>
          <cell r="C234">
            <v>1</v>
          </cell>
          <cell r="D234">
            <v>3</v>
          </cell>
        </row>
        <row r="235">
          <cell r="A235" t="str">
            <v>EGD-0234</v>
          </cell>
          <cell r="B235">
            <v>0</v>
          </cell>
          <cell r="C235">
            <v>0</v>
          </cell>
          <cell r="D235">
            <v>4</v>
          </cell>
        </row>
        <row r="236">
          <cell r="A236" t="str">
            <v>EGD-0235</v>
          </cell>
          <cell r="B236">
            <v>-1</v>
          </cell>
          <cell r="C236">
            <v>-1</v>
          </cell>
          <cell r="D236">
            <v>4</v>
          </cell>
        </row>
        <row r="237">
          <cell r="A237" t="str">
            <v>EGD-0236</v>
          </cell>
          <cell r="B237">
            <v>1</v>
          </cell>
          <cell r="C237">
            <v>0</v>
          </cell>
          <cell r="D237">
            <v>2</v>
          </cell>
        </row>
        <row r="238">
          <cell r="A238" t="str">
            <v>EGD-0237</v>
          </cell>
          <cell r="B238">
            <v>0</v>
          </cell>
          <cell r="C238">
            <v>-1</v>
          </cell>
          <cell r="D238">
            <v>4</v>
          </cell>
        </row>
        <row r="239">
          <cell r="A239" t="str">
            <v>EGD-0238</v>
          </cell>
          <cell r="B239">
            <v>0</v>
          </cell>
          <cell r="C239">
            <v>-1</v>
          </cell>
          <cell r="D239">
            <v>4</v>
          </cell>
        </row>
        <row r="240">
          <cell r="A240" t="str">
            <v>EGD-0239</v>
          </cell>
          <cell r="B240">
            <v>-1</v>
          </cell>
          <cell r="C240">
            <v>-1</v>
          </cell>
          <cell r="D240">
            <v>4</v>
          </cell>
        </row>
        <row r="241">
          <cell r="A241" t="str">
            <v>EGD-0240</v>
          </cell>
          <cell r="B241">
            <v>1</v>
          </cell>
          <cell r="C241">
            <v>0</v>
          </cell>
          <cell r="D241">
            <v>2</v>
          </cell>
        </row>
        <row r="242">
          <cell r="A242" t="str">
            <v>EGD-0241</v>
          </cell>
          <cell r="B242">
            <v>1</v>
          </cell>
          <cell r="C242">
            <v>0</v>
          </cell>
          <cell r="D242">
            <v>2</v>
          </cell>
        </row>
        <row r="243">
          <cell r="A243" t="str">
            <v>EGD-0242</v>
          </cell>
          <cell r="B243">
            <v>0</v>
          </cell>
          <cell r="C243">
            <v>-1</v>
          </cell>
          <cell r="D243">
            <v>4</v>
          </cell>
        </row>
        <row r="244">
          <cell r="A244" t="str">
            <v>EGD-0243</v>
          </cell>
          <cell r="B244">
            <v>1</v>
          </cell>
          <cell r="C244">
            <v>0</v>
          </cell>
          <cell r="D244">
            <v>3</v>
          </cell>
        </row>
        <row r="245">
          <cell r="A245" t="str">
            <v>EGD-0244</v>
          </cell>
          <cell r="B245">
            <v>1</v>
          </cell>
          <cell r="C245">
            <v>1</v>
          </cell>
          <cell r="D245">
            <v>3</v>
          </cell>
        </row>
        <row r="246">
          <cell r="A246" t="str">
            <v>EGD-0245</v>
          </cell>
          <cell r="B246">
            <v>-1</v>
          </cell>
          <cell r="C246">
            <v>-1</v>
          </cell>
          <cell r="D246">
            <v>4</v>
          </cell>
        </row>
        <row r="247">
          <cell r="A247" t="str">
            <v>EGD-0246</v>
          </cell>
          <cell r="B247">
            <v>-1</v>
          </cell>
          <cell r="C247">
            <v>-1</v>
          </cell>
          <cell r="D247">
            <v>4</v>
          </cell>
        </row>
        <row r="248">
          <cell r="A248" t="str">
            <v>EGD-0247</v>
          </cell>
          <cell r="B248">
            <v>0</v>
          </cell>
          <cell r="C248">
            <v>0</v>
          </cell>
          <cell r="D248">
            <v>4</v>
          </cell>
        </row>
        <row r="249">
          <cell r="A249" t="str">
            <v>EGD-0248</v>
          </cell>
          <cell r="B249">
            <v>-1</v>
          </cell>
          <cell r="C249">
            <v>-1</v>
          </cell>
          <cell r="D249">
            <v>4</v>
          </cell>
        </row>
        <row r="250">
          <cell r="A250" t="str">
            <v>EGD-0249</v>
          </cell>
          <cell r="B250">
            <v>0</v>
          </cell>
          <cell r="C250">
            <v>-1</v>
          </cell>
          <cell r="D250">
            <v>-1</v>
          </cell>
        </row>
        <row r="251">
          <cell r="A251" t="str">
            <v>EGD-0250</v>
          </cell>
          <cell r="B251">
            <v>0</v>
          </cell>
          <cell r="C251">
            <v>-1</v>
          </cell>
          <cell r="D251">
            <v>4</v>
          </cell>
        </row>
        <row r="252">
          <cell r="A252" t="str">
            <v>EGD-0251</v>
          </cell>
          <cell r="B252">
            <v>-1</v>
          </cell>
          <cell r="C252">
            <v>-1</v>
          </cell>
          <cell r="D252">
            <v>4</v>
          </cell>
        </row>
        <row r="253">
          <cell r="A253" t="str">
            <v>EGD-0252</v>
          </cell>
          <cell r="B253">
            <v>-1</v>
          </cell>
          <cell r="C253">
            <v>-1</v>
          </cell>
          <cell r="D253">
            <v>4</v>
          </cell>
        </row>
        <row r="254">
          <cell r="A254" t="str">
            <v>EGD-0253</v>
          </cell>
          <cell r="B254">
            <v>1</v>
          </cell>
          <cell r="C254">
            <v>1</v>
          </cell>
          <cell r="D254">
            <v>2</v>
          </cell>
        </row>
        <row r="255">
          <cell r="A255" t="str">
            <v>EGD-0254</v>
          </cell>
          <cell r="B255">
            <v>0</v>
          </cell>
          <cell r="C255">
            <v>-1</v>
          </cell>
          <cell r="D255">
            <v>4</v>
          </cell>
        </row>
        <row r="256">
          <cell r="A256" t="str">
            <v>EGD-0255</v>
          </cell>
          <cell r="B256">
            <v>0</v>
          </cell>
          <cell r="C256">
            <v>-1</v>
          </cell>
          <cell r="D256">
            <v>4</v>
          </cell>
        </row>
        <row r="257">
          <cell r="A257" t="str">
            <v>EGD-0256</v>
          </cell>
          <cell r="B257">
            <v>0</v>
          </cell>
          <cell r="C257">
            <v>0</v>
          </cell>
          <cell r="D257">
            <v>4</v>
          </cell>
        </row>
        <row r="258">
          <cell r="A258" t="str">
            <v>EGD-0257</v>
          </cell>
          <cell r="B258">
            <v>-1</v>
          </cell>
          <cell r="C258">
            <v>-1</v>
          </cell>
          <cell r="D258">
            <v>4</v>
          </cell>
        </row>
        <row r="259">
          <cell r="A259" t="str">
            <v>EGD-0258</v>
          </cell>
          <cell r="B259">
            <v>-1</v>
          </cell>
          <cell r="C259">
            <v>-1</v>
          </cell>
          <cell r="D259">
            <v>4</v>
          </cell>
        </row>
        <row r="260">
          <cell r="A260" t="str">
            <v>EGD-0259</v>
          </cell>
          <cell r="B260">
            <v>-1</v>
          </cell>
          <cell r="C260">
            <v>-1</v>
          </cell>
          <cell r="D260">
            <v>4</v>
          </cell>
        </row>
        <row r="261">
          <cell r="A261" t="str">
            <v>EGD-0260</v>
          </cell>
          <cell r="B261">
            <v>-1</v>
          </cell>
          <cell r="C261">
            <v>0</v>
          </cell>
          <cell r="D261">
            <v>3</v>
          </cell>
        </row>
        <row r="262">
          <cell r="A262" t="str">
            <v>EGD-0261</v>
          </cell>
          <cell r="B262">
            <v>-1</v>
          </cell>
          <cell r="C262">
            <v>-1</v>
          </cell>
          <cell r="D262">
            <v>2</v>
          </cell>
        </row>
        <row r="263">
          <cell r="A263" t="str">
            <v>EGD-0262</v>
          </cell>
          <cell r="B263">
            <v>0</v>
          </cell>
          <cell r="C263">
            <v>-1</v>
          </cell>
          <cell r="D263">
            <v>4</v>
          </cell>
        </row>
        <row r="264">
          <cell r="A264" t="str">
            <v>EGD-0263</v>
          </cell>
          <cell r="B264">
            <v>0</v>
          </cell>
          <cell r="C264">
            <v>-1</v>
          </cell>
          <cell r="D264">
            <v>4</v>
          </cell>
        </row>
        <row r="265">
          <cell r="A265" t="str">
            <v>EGD-0264</v>
          </cell>
          <cell r="B265">
            <v>0</v>
          </cell>
          <cell r="C265">
            <v>-1</v>
          </cell>
          <cell r="D265">
            <v>4</v>
          </cell>
        </row>
        <row r="266">
          <cell r="A266" t="str">
            <v>EGD-0265</v>
          </cell>
          <cell r="B266">
            <v>-1</v>
          </cell>
          <cell r="C266">
            <v>-1</v>
          </cell>
          <cell r="D266">
            <v>2</v>
          </cell>
        </row>
        <row r="267">
          <cell r="A267" t="str">
            <v>EGD-0266</v>
          </cell>
          <cell r="B267">
            <v>0</v>
          </cell>
          <cell r="C267">
            <v>-1</v>
          </cell>
          <cell r="D267">
            <v>-1</v>
          </cell>
        </row>
        <row r="268">
          <cell r="A268" t="str">
            <v>EGD-0267</v>
          </cell>
          <cell r="B268">
            <v>-1</v>
          </cell>
          <cell r="C268">
            <v>-1</v>
          </cell>
          <cell r="D268">
            <v>4</v>
          </cell>
        </row>
        <row r="269">
          <cell r="A269" t="str">
            <v>EGD-0268</v>
          </cell>
          <cell r="B269">
            <v>1</v>
          </cell>
          <cell r="C269">
            <v>0</v>
          </cell>
          <cell r="D269">
            <v>2</v>
          </cell>
        </row>
        <row r="270">
          <cell r="A270" t="str">
            <v>EGD-0269</v>
          </cell>
          <cell r="B270">
            <v>-1</v>
          </cell>
          <cell r="C270">
            <v>-1</v>
          </cell>
          <cell r="D270">
            <v>4</v>
          </cell>
        </row>
        <row r="271">
          <cell r="A271" t="str">
            <v>EGD-0270</v>
          </cell>
          <cell r="B271">
            <v>0</v>
          </cell>
          <cell r="C271">
            <v>-1</v>
          </cell>
          <cell r="D271">
            <v>4</v>
          </cell>
        </row>
        <row r="272">
          <cell r="A272" t="str">
            <v>EGD-0271</v>
          </cell>
          <cell r="B272">
            <v>-1</v>
          </cell>
          <cell r="C272">
            <v>-1</v>
          </cell>
          <cell r="D272">
            <v>4</v>
          </cell>
        </row>
        <row r="273">
          <cell r="A273" t="str">
            <v>EGD-0272</v>
          </cell>
          <cell r="B273">
            <v>-1</v>
          </cell>
          <cell r="C273">
            <v>-1</v>
          </cell>
          <cell r="D273">
            <v>4</v>
          </cell>
        </row>
        <row r="274">
          <cell r="A274" t="str">
            <v>EGD-0273</v>
          </cell>
          <cell r="B274">
            <v>0</v>
          </cell>
          <cell r="C274">
            <v>-1</v>
          </cell>
          <cell r="D274">
            <v>-1</v>
          </cell>
        </row>
        <row r="275">
          <cell r="A275" t="str">
            <v>EGD-0274</v>
          </cell>
          <cell r="B275">
            <v>-1</v>
          </cell>
          <cell r="C275">
            <v>-1</v>
          </cell>
          <cell r="D275">
            <v>4</v>
          </cell>
        </row>
        <row r="276">
          <cell r="A276" t="str">
            <v>EGD-0275</v>
          </cell>
          <cell r="B276">
            <v>0</v>
          </cell>
          <cell r="C276">
            <v>-1</v>
          </cell>
          <cell r="D276">
            <v>4</v>
          </cell>
        </row>
        <row r="277">
          <cell r="A277" t="str">
            <v>EGD-0276</v>
          </cell>
          <cell r="B277">
            <v>1</v>
          </cell>
          <cell r="C277">
            <v>-1</v>
          </cell>
          <cell r="D277">
            <v>4</v>
          </cell>
        </row>
        <row r="278">
          <cell r="A278" t="str">
            <v>EGD-0277</v>
          </cell>
          <cell r="B278">
            <v>-1</v>
          </cell>
          <cell r="C278">
            <v>-1</v>
          </cell>
          <cell r="D278">
            <v>3</v>
          </cell>
        </row>
        <row r="279">
          <cell r="A279" t="str">
            <v>EGD-0278</v>
          </cell>
          <cell r="B279">
            <v>-1</v>
          </cell>
          <cell r="C279">
            <v>-1</v>
          </cell>
          <cell r="D279">
            <v>4</v>
          </cell>
        </row>
        <row r="280">
          <cell r="A280" t="str">
            <v>EGD-0279</v>
          </cell>
          <cell r="B280">
            <v>1</v>
          </cell>
          <cell r="C280">
            <v>-1</v>
          </cell>
          <cell r="D280">
            <v>4</v>
          </cell>
        </row>
        <row r="281">
          <cell r="A281" t="str">
            <v>EGD-0280</v>
          </cell>
          <cell r="B281">
            <v>0</v>
          </cell>
          <cell r="C281">
            <v>0</v>
          </cell>
          <cell r="D281">
            <v>4</v>
          </cell>
        </row>
        <row r="282">
          <cell r="A282" t="str">
            <v>EGD-0281</v>
          </cell>
          <cell r="B282">
            <v>0</v>
          </cell>
          <cell r="C282">
            <v>-1</v>
          </cell>
          <cell r="D282">
            <v>4</v>
          </cell>
        </row>
        <row r="283">
          <cell r="A283" t="str">
            <v>EGD-0282</v>
          </cell>
          <cell r="B283">
            <v>0</v>
          </cell>
          <cell r="C283">
            <v>-1</v>
          </cell>
          <cell r="D283">
            <v>4</v>
          </cell>
        </row>
        <row r="284">
          <cell r="A284" t="str">
            <v>EGD-0283</v>
          </cell>
          <cell r="B284">
            <v>-1</v>
          </cell>
          <cell r="C284">
            <v>-1</v>
          </cell>
          <cell r="D284">
            <v>4</v>
          </cell>
        </row>
        <row r="285">
          <cell r="A285" t="str">
            <v>EGD-0284</v>
          </cell>
          <cell r="B285">
            <v>-1</v>
          </cell>
          <cell r="C285">
            <v>-1</v>
          </cell>
          <cell r="D285">
            <v>4</v>
          </cell>
        </row>
        <row r="286">
          <cell r="A286" t="str">
            <v>EGD-0285</v>
          </cell>
          <cell r="B286">
            <v>0</v>
          </cell>
          <cell r="C286">
            <v>-1</v>
          </cell>
          <cell r="D286">
            <v>4</v>
          </cell>
        </row>
        <row r="287">
          <cell r="A287" t="str">
            <v>EGD-0286</v>
          </cell>
          <cell r="B287">
            <v>1</v>
          </cell>
          <cell r="C287">
            <v>1</v>
          </cell>
          <cell r="D287">
            <v>2</v>
          </cell>
        </row>
        <row r="288">
          <cell r="A288" t="str">
            <v>EGD-0287</v>
          </cell>
          <cell r="B288">
            <v>-1</v>
          </cell>
          <cell r="C288">
            <v>-1</v>
          </cell>
          <cell r="D288">
            <v>4</v>
          </cell>
        </row>
        <row r="289">
          <cell r="A289" t="str">
            <v>EGD-0288</v>
          </cell>
          <cell r="B289">
            <v>-1</v>
          </cell>
          <cell r="C289">
            <v>-1</v>
          </cell>
          <cell r="D289">
            <v>3</v>
          </cell>
        </row>
        <row r="290">
          <cell r="A290" t="str">
            <v>EGD-0289</v>
          </cell>
          <cell r="B290">
            <v>-1</v>
          </cell>
          <cell r="C290">
            <v>-1</v>
          </cell>
          <cell r="D290">
            <v>4</v>
          </cell>
        </row>
        <row r="291">
          <cell r="A291" t="str">
            <v>EGD-0290</v>
          </cell>
          <cell r="B291">
            <v>0</v>
          </cell>
          <cell r="C291">
            <v>-1</v>
          </cell>
          <cell r="D291">
            <v>4</v>
          </cell>
        </row>
        <row r="292">
          <cell r="A292" t="str">
            <v>EGD-0291</v>
          </cell>
          <cell r="B292">
            <v>-1</v>
          </cell>
          <cell r="C292">
            <v>-1</v>
          </cell>
          <cell r="D292">
            <v>4</v>
          </cell>
        </row>
        <row r="293">
          <cell r="A293" t="str">
            <v>EGD-0292</v>
          </cell>
          <cell r="B293">
            <v>0</v>
          </cell>
          <cell r="C293">
            <v>-1</v>
          </cell>
          <cell r="D293">
            <v>4</v>
          </cell>
        </row>
        <row r="294">
          <cell r="A294" t="str">
            <v>EGD-0293</v>
          </cell>
          <cell r="B294">
            <v>0</v>
          </cell>
          <cell r="C294">
            <v>-1</v>
          </cell>
          <cell r="D294">
            <v>4</v>
          </cell>
        </row>
        <row r="295">
          <cell r="A295" t="str">
            <v>EGD-0294</v>
          </cell>
          <cell r="B295">
            <v>0</v>
          </cell>
          <cell r="C295">
            <v>-1</v>
          </cell>
          <cell r="D295">
            <v>4</v>
          </cell>
        </row>
        <row r="296">
          <cell r="A296" t="str">
            <v>EGD-0295</v>
          </cell>
          <cell r="B296">
            <v>-1</v>
          </cell>
          <cell r="C296">
            <v>-1</v>
          </cell>
          <cell r="D296">
            <v>4</v>
          </cell>
        </row>
        <row r="297">
          <cell r="A297" t="str">
            <v>EGD-0296</v>
          </cell>
          <cell r="B297">
            <v>-1</v>
          </cell>
          <cell r="C297">
            <v>-1</v>
          </cell>
          <cell r="D297">
            <v>4</v>
          </cell>
        </row>
        <row r="298">
          <cell r="A298" t="str">
            <v>EGD-0297</v>
          </cell>
          <cell r="B298">
            <v>1</v>
          </cell>
          <cell r="C298">
            <v>0</v>
          </cell>
          <cell r="D298">
            <v>2</v>
          </cell>
        </row>
        <row r="299">
          <cell r="A299" t="str">
            <v>EGD-0298</v>
          </cell>
          <cell r="B299">
            <v>0</v>
          </cell>
          <cell r="C299">
            <v>-1</v>
          </cell>
          <cell r="D299">
            <v>4</v>
          </cell>
        </row>
        <row r="300">
          <cell r="A300" t="str">
            <v>EGD-0299</v>
          </cell>
          <cell r="B300">
            <v>0</v>
          </cell>
          <cell r="C300">
            <v>-1</v>
          </cell>
          <cell r="D300">
            <v>4</v>
          </cell>
        </row>
        <row r="301">
          <cell r="A301" t="str">
            <v>EGD-0300</v>
          </cell>
          <cell r="B301">
            <v>-1</v>
          </cell>
          <cell r="C301">
            <v>-1</v>
          </cell>
          <cell r="D301">
            <v>3</v>
          </cell>
        </row>
        <row r="302">
          <cell r="A302" t="str">
            <v>EGD-0301</v>
          </cell>
          <cell r="B302">
            <v>1</v>
          </cell>
          <cell r="C302">
            <v>0</v>
          </cell>
          <cell r="D302">
            <v>2</v>
          </cell>
        </row>
        <row r="303">
          <cell r="A303" t="str">
            <v>EGD-0302</v>
          </cell>
          <cell r="B303">
            <v>0</v>
          </cell>
          <cell r="C303">
            <v>-1</v>
          </cell>
          <cell r="D303">
            <v>4</v>
          </cell>
        </row>
        <row r="304">
          <cell r="A304" t="str">
            <v>EGD-0303</v>
          </cell>
          <cell r="B304">
            <v>0</v>
          </cell>
          <cell r="C304">
            <v>-1</v>
          </cell>
          <cell r="D304">
            <v>4</v>
          </cell>
        </row>
        <row r="305">
          <cell r="A305" t="str">
            <v>EGD-0304</v>
          </cell>
          <cell r="B305">
            <v>0</v>
          </cell>
          <cell r="C305">
            <v>0</v>
          </cell>
          <cell r="D305">
            <v>-1</v>
          </cell>
        </row>
        <row r="306">
          <cell r="A306" t="str">
            <v>EGD-0305</v>
          </cell>
          <cell r="B306">
            <v>0</v>
          </cell>
          <cell r="C306">
            <v>-1</v>
          </cell>
          <cell r="D306">
            <v>4</v>
          </cell>
        </row>
        <row r="307">
          <cell r="A307" t="str">
            <v>EGD-0306</v>
          </cell>
          <cell r="B307">
            <v>1</v>
          </cell>
          <cell r="C307">
            <v>0</v>
          </cell>
          <cell r="D307">
            <v>2</v>
          </cell>
        </row>
        <row r="308">
          <cell r="A308" t="str">
            <v>EGD-0307</v>
          </cell>
          <cell r="B308">
            <v>-1</v>
          </cell>
          <cell r="C308">
            <v>-1</v>
          </cell>
          <cell r="D308">
            <v>4</v>
          </cell>
        </row>
        <row r="309">
          <cell r="A309" t="str">
            <v>EGD-0308</v>
          </cell>
          <cell r="B309">
            <v>1</v>
          </cell>
          <cell r="C309">
            <v>0</v>
          </cell>
          <cell r="D309">
            <v>-1</v>
          </cell>
        </row>
        <row r="310">
          <cell r="A310" t="str">
            <v>EGD-0309</v>
          </cell>
          <cell r="B310">
            <v>1</v>
          </cell>
          <cell r="C310">
            <v>0</v>
          </cell>
          <cell r="D310">
            <v>2</v>
          </cell>
        </row>
        <row r="311">
          <cell r="A311" t="str">
            <v>EGD-0310</v>
          </cell>
          <cell r="B311">
            <v>-1</v>
          </cell>
          <cell r="C311">
            <v>-1</v>
          </cell>
          <cell r="D311">
            <v>4</v>
          </cell>
        </row>
        <row r="312">
          <cell r="A312" t="str">
            <v>EGD-0311</v>
          </cell>
          <cell r="B312">
            <v>0</v>
          </cell>
          <cell r="C312">
            <v>-1</v>
          </cell>
          <cell r="D312">
            <v>4</v>
          </cell>
        </row>
        <row r="313">
          <cell r="A313" t="str">
            <v>EGD-0312</v>
          </cell>
          <cell r="B313">
            <v>1</v>
          </cell>
          <cell r="C313">
            <v>1</v>
          </cell>
          <cell r="D313">
            <v>2</v>
          </cell>
        </row>
        <row r="314">
          <cell r="A314" t="str">
            <v>EGD-0313</v>
          </cell>
          <cell r="B314">
            <v>0</v>
          </cell>
          <cell r="C314">
            <v>-1</v>
          </cell>
          <cell r="D314">
            <v>4</v>
          </cell>
        </row>
        <row r="315">
          <cell r="A315" t="str">
            <v>EGD-0314</v>
          </cell>
          <cell r="B315">
            <v>0</v>
          </cell>
          <cell r="C315">
            <v>-1</v>
          </cell>
          <cell r="D315">
            <v>4</v>
          </cell>
        </row>
        <row r="316">
          <cell r="A316" t="str">
            <v>EGD-0315</v>
          </cell>
          <cell r="B316">
            <v>0</v>
          </cell>
          <cell r="C316">
            <v>-1</v>
          </cell>
          <cell r="D316">
            <v>4</v>
          </cell>
        </row>
        <row r="317">
          <cell r="A317" t="str">
            <v>EGD-0316</v>
          </cell>
          <cell r="B317">
            <v>-1</v>
          </cell>
          <cell r="C317">
            <v>-1</v>
          </cell>
          <cell r="D317">
            <v>4</v>
          </cell>
        </row>
        <row r="318">
          <cell r="A318" t="str">
            <v>EGD-0317</v>
          </cell>
          <cell r="B318">
            <v>0</v>
          </cell>
          <cell r="C318">
            <v>-1</v>
          </cell>
          <cell r="D318">
            <v>-1</v>
          </cell>
        </row>
        <row r="319">
          <cell r="A319" t="str">
            <v>EGD-0318</v>
          </cell>
          <cell r="B319">
            <v>0</v>
          </cell>
          <cell r="C319">
            <v>-1</v>
          </cell>
          <cell r="D319">
            <v>4</v>
          </cell>
        </row>
        <row r="320">
          <cell r="A320" t="str">
            <v>EGD-0319</v>
          </cell>
          <cell r="B320">
            <v>0</v>
          </cell>
          <cell r="C320">
            <v>0</v>
          </cell>
          <cell r="D320">
            <v>4</v>
          </cell>
        </row>
        <row r="321">
          <cell r="A321" t="str">
            <v>EGD-0320</v>
          </cell>
          <cell r="B321">
            <v>-1</v>
          </cell>
          <cell r="C321">
            <v>-1</v>
          </cell>
          <cell r="D321">
            <v>4</v>
          </cell>
        </row>
        <row r="322">
          <cell r="A322" t="str">
            <v>EGD-0321</v>
          </cell>
          <cell r="B322">
            <v>0</v>
          </cell>
          <cell r="C322">
            <v>0</v>
          </cell>
          <cell r="D322">
            <v>4</v>
          </cell>
        </row>
        <row r="323">
          <cell r="A323" t="str">
            <v>EGD-0322</v>
          </cell>
          <cell r="B323">
            <v>-1</v>
          </cell>
          <cell r="C323">
            <v>0</v>
          </cell>
          <cell r="D323">
            <v>3</v>
          </cell>
        </row>
        <row r="324">
          <cell r="A324" t="str">
            <v>EGD-0323</v>
          </cell>
          <cell r="B324">
            <v>0</v>
          </cell>
          <cell r="C324">
            <v>-1</v>
          </cell>
          <cell r="D324">
            <v>-1</v>
          </cell>
        </row>
        <row r="325">
          <cell r="A325" t="str">
            <v>EGD-0324</v>
          </cell>
          <cell r="B325">
            <v>0</v>
          </cell>
          <cell r="C325">
            <v>-1</v>
          </cell>
          <cell r="D325">
            <v>4</v>
          </cell>
        </row>
        <row r="326">
          <cell r="A326" t="str">
            <v>EGD-0325</v>
          </cell>
          <cell r="B326">
            <v>0</v>
          </cell>
          <cell r="C326">
            <v>-1</v>
          </cell>
          <cell r="D326">
            <v>4</v>
          </cell>
        </row>
        <row r="327">
          <cell r="A327" t="str">
            <v>EGD-0326</v>
          </cell>
          <cell r="B327">
            <v>-1</v>
          </cell>
          <cell r="C327">
            <v>-1</v>
          </cell>
          <cell r="D327">
            <v>4</v>
          </cell>
        </row>
        <row r="328">
          <cell r="A328" t="str">
            <v>EGD-0327</v>
          </cell>
          <cell r="B328">
            <v>-1</v>
          </cell>
          <cell r="C328">
            <v>-1</v>
          </cell>
          <cell r="D328">
            <v>4</v>
          </cell>
        </row>
        <row r="329">
          <cell r="A329" t="str">
            <v>EGD-0328</v>
          </cell>
          <cell r="B329">
            <v>0</v>
          </cell>
          <cell r="C329">
            <v>-1</v>
          </cell>
          <cell r="D329">
            <v>4</v>
          </cell>
        </row>
        <row r="330">
          <cell r="A330" t="str">
            <v>EGD-0329</v>
          </cell>
          <cell r="B330">
            <v>0</v>
          </cell>
          <cell r="C330">
            <v>-1</v>
          </cell>
          <cell r="D330">
            <v>-1</v>
          </cell>
        </row>
        <row r="331">
          <cell r="A331" t="str">
            <v>EGD-0330</v>
          </cell>
          <cell r="B331">
            <v>1</v>
          </cell>
          <cell r="C331">
            <v>1</v>
          </cell>
          <cell r="D331">
            <v>2</v>
          </cell>
        </row>
        <row r="332">
          <cell r="A332" t="str">
            <v>EGD-0331</v>
          </cell>
          <cell r="B332">
            <v>0</v>
          </cell>
          <cell r="C332">
            <v>-1</v>
          </cell>
          <cell r="D332">
            <v>4</v>
          </cell>
        </row>
        <row r="333">
          <cell r="A333" t="str">
            <v>EGD-0332</v>
          </cell>
          <cell r="B333">
            <v>1</v>
          </cell>
          <cell r="C333">
            <v>1</v>
          </cell>
          <cell r="D333">
            <v>2</v>
          </cell>
        </row>
        <row r="334">
          <cell r="A334" t="str">
            <v>EGD-0333</v>
          </cell>
          <cell r="B334">
            <v>-1</v>
          </cell>
          <cell r="C334">
            <v>-1</v>
          </cell>
          <cell r="D334">
            <v>4</v>
          </cell>
        </row>
        <row r="335">
          <cell r="A335" t="str">
            <v>EGD-0334</v>
          </cell>
          <cell r="B335">
            <v>0</v>
          </cell>
          <cell r="C335">
            <v>-1</v>
          </cell>
          <cell r="D335">
            <v>4</v>
          </cell>
        </row>
        <row r="336">
          <cell r="A336" t="str">
            <v>EGD-0335</v>
          </cell>
          <cell r="B336">
            <v>-1</v>
          </cell>
          <cell r="C336">
            <v>-1</v>
          </cell>
          <cell r="D336">
            <v>4</v>
          </cell>
        </row>
        <row r="337">
          <cell r="A337" t="str">
            <v>EGD-0336</v>
          </cell>
          <cell r="B337">
            <v>0</v>
          </cell>
          <cell r="C337">
            <v>-1</v>
          </cell>
          <cell r="D337">
            <v>4</v>
          </cell>
        </row>
        <row r="338">
          <cell r="A338" t="str">
            <v>EGD-0337</v>
          </cell>
          <cell r="B338">
            <v>0</v>
          </cell>
          <cell r="C338">
            <v>0</v>
          </cell>
          <cell r="D338">
            <v>4</v>
          </cell>
        </row>
        <row r="339">
          <cell r="A339" t="str">
            <v>EGD-0338</v>
          </cell>
          <cell r="B339">
            <v>0</v>
          </cell>
          <cell r="C339">
            <v>0</v>
          </cell>
          <cell r="D339">
            <v>4</v>
          </cell>
        </row>
        <row r="340">
          <cell r="A340" t="str">
            <v>EGD-0339</v>
          </cell>
          <cell r="B340">
            <v>-1</v>
          </cell>
          <cell r="C340">
            <v>-1</v>
          </cell>
          <cell r="D340">
            <v>2</v>
          </cell>
        </row>
        <row r="341">
          <cell r="A341" t="str">
            <v>EGD-0340</v>
          </cell>
          <cell r="B341">
            <v>1</v>
          </cell>
          <cell r="C341">
            <v>0</v>
          </cell>
          <cell r="D341">
            <v>2</v>
          </cell>
        </row>
        <row r="342">
          <cell r="A342" t="str">
            <v>EGD-0341</v>
          </cell>
          <cell r="B342">
            <v>-1</v>
          </cell>
          <cell r="C342">
            <v>-1</v>
          </cell>
          <cell r="D342">
            <v>4</v>
          </cell>
        </row>
        <row r="343">
          <cell r="A343" t="str">
            <v>EGD-0342</v>
          </cell>
          <cell r="B343">
            <v>0</v>
          </cell>
          <cell r="C343">
            <v>-1</v>
          </cell>
          <cell r="D343">
            <v>4</v>
          </cell>
        </row>
        <row r="344">
          <cell r="A344" t="str">
            <v>EGD-0343</v>
          </cell>
          <cell r="B344">
            <v>0</v>
          </cell>
          <cell r="C344">
            <v>-1</v>
          </cell>
          <cell r="D344">
            <v>4</v>
          </cell>
        </row>
        <row r="345">
          <cell r="A345" t="str">
            <v>EGD-0344</v>
          </cell>
          <cell r="B345">
            <v>0</v>
          </cell>
          <cell r="C345">
            <v>0</v>
          </cell>
          <cell r="D345">
            <v>4</v>
          </cell>
        </row>
        <row r="346">
          <cell r="A346" t="str">
            <v>EGD-0345</v>
          </cell>
          <cell r="B346">
            <v>0</v>
          </cell>
          <cell r="C346">
            <v>-1</v>
          </cell>
          <cell r="D346">
            <v>4</v>
          </cell>
        </row>
        <row r="347">
          <cell r="A347" t="str">
            <v>EGD-0346</v>
          </cell>
          <cell r="B347">
            <v>1</v>
          </cell>
          <cell r="C347">
            <v>0</v>
          </cell>
          <cell r="D347">
            <v>2</v>
          </cell>
        </row>
        <row r="348">
          <cell r="A348" t="str">
            <v>EGD-0347</v>
          </cell>
          <cell r="B348">
            <v>-1</v>
          </cell>
          <cell r="C348">
            <v>-1</v>
          </cell>
          <cell r="D348">
            <v>-1</v>
          </cell>
        </row>
        <row r="349">
          <cell r="A349" t="str">
            <v>EGD-0348</v>
          </cell>
          <cell r="B349">
            <v>-1</v>
          </cell>
          <cell r="C349">
            <v>-1</v>
          </cell>
          <cell r="D349">
            <v>4</v>
          </cell>
        </row>
        <row r="350">
          <cell r="A350" t="str">
            <v>EGD-0349</v>
          </cell>
          <cell r="B350">
            <v>0</v>
          </cell>
          <cell r="C350">
            <v>0</v>
          </cell>
          <cell r="D350">
            <v>4</v>
          </cell>
        </row>
        <row r="351">
          <cell r="A351" t="str">
            <v>EGD-0350</v>
          </cell>
          <cell r="B351">
            <v>-1</v>
          </cell>
          <cell r="C351">
            <v>-1</v>
          </cell>
          <cell r="D351">
            <v>4</v>
          </cell>
        </row>
        <row r="352">
          <cell r="A352" t="str">
            <v>EGD-0351</v>
          </cell>
          <cell r="B352">
            <v>1</v>
          </cell>
          <cell r="C352">
            <v>1</v>
          </cell>
          <cell r="D352">
            <v>2</v>
          </cell>
        </row>
        <row r="353">
          <cell r="A353" t="str">
            <v>EGD-0352</v>
          </cell>
          <cell r="B353">
            <v>1</v>
          </cell>
          <cell r="C353">
            <v>1</v>
          </cell>
          <cell r="D353">
            <v>2</v>
          </cell>
        </row>
        <row r="354">
          <cell r="A354" t="str">
            <v>EGD-0353</v>
          </cell>
          <cell r="B354">
            <v>0</v>
          </cell>
          <cell r="C354">
            <v>-1</v>
          </cell>
          <cell r="D354">
            <v>4</v>
          </cell>
        </row>
        <row r="355">
          <cell r="A355" t="str">
            <v>EGD-0354</v>
          </cell>
          <cell r="B355">
            <v>0</v>
          </cell>
          <cell r="C355">
            <v>-1</v>
          </cell>
          <cell r="D355">
            <v>4</v>
          </cell>
        </row>
        <row r="356">
          <cell r="A356" t="str">
            <v>EGD-0355</v>
          </cell>
          <cell r="B356">
            <v>1</v>
          </cell>
          <cell r="C356">
            <v>0</v>
          </cell>
          <cell r="D356">
            <v>2</v>
          </cell>
        </row>
        <row r="357">
          <cell r="A357" t="str">
            <v>EGD-0356</v>
          </cell>
          <cell r="B357">
            <v>1</v>
          </cell>
          <cell r="C357">
            <v>1</v>
          </cell>
          <cell r="D357">
            <v>2</v>
          </cell>
        </row>
        <row r="358">
          <cell r="A358" t="str">
            <v>EGD-0357</v>
          </cell>
          <cell r="B358">
            <v>0</v>
          </cell>
          <cell r="C358">
            <v>0</v>
          </cell>
          <cell r="D358">
            <v>4</v>
          </cell>
        </row>
        <row r="359">
          <cell r="A359" t="str">
            <v>EGD-0358</v>
          </cell>
          <cell r="B359">
            <v>0</v>
          </cell>
          <cell r="C359">
            <v>-1</v>
          </cell>
          <cell r="D359">
            <v>4</v>
          </cell>
        </row>
        <row r="360">
          <cell r="A360" t="str">
            <v>EGD-0359</v>
          </cell>
          <cell r="B360">
            <v>-1</v>
          </cell>
          <cell r="C360">
            <v>-1</v>
          </cell>
          <cell r="D360">
            <v>4</v>
          </cell>
        </row>
        <row r="361">
          <cell r="A361" t="str">
            <v>EGD-0360</v>
          </cell>
          <cell r="B361">
            <v>-1</v>
          </cell>
          <cell r="C361">
            <v>-1</v>
          </cell>
          <cell r="D361">
            <v>4</v>
          </cell>
        </row>
        <row r="362">
          <cell r="A362" t="str">
            <v>EGD-0361</v>
          </cell>
          <cell r="B362">
            <v>-1</v>
          </cell>
          <cell r="C362">
            <v>-1</v>
          </cell>
          <cell r="D362">
            <v>4</v>
          </cell>
        </row>
        <row r="363">
          <cell r="A363" t="str">
            <v>EGD-0362</v>
          </cell>
          <cell r="B363">
            <v>-1</v>
          </cell>
          <cell r="C363">
            <v>-1</v>
          </cell>
          <cell r="D363">
            <v>4</v>
          </cell>
        </row>
        <row r="364">
          <cell r="A364" t="str">
            <v>EGD-0363</v>
          </cell>
          <cell r="B364">
            <v>0</v>
          </cell>
          <cell r="C364">
            <v>0</v>
          </cell>
          <cell r="D364">
            <v>4</v>
          </cell>
        </row>
        <row r="365">
          <cell r="A365" t="str">
            <v>EGD-0364</v>
          </cell>
          <cell r="B365">
            <v>-1</v>
          </cell>
          <cell r="C365">
            <v>-1</v>
          </cell>
          <cell r="D365">
            <v>4</v>
          </cell>
        </row>
        <row r="366">
          <cell r="A366" t="str">
            <v>EGD-0365</v>
          </cell>
          <cell r="B366">
            <v>0</v>
          </cell>
          <cell r="C366">
            <v>-1</v>
          </cell>
          <cell r="D366">
            <v>4</v>
          </cell>
        </row>
        <row r="367">
          <cell r="A367" t="str">
            <v>EGD-0366</v>
          </cell>
          <cell r="B367">
            <v>0</v>
          </cell>
          <cell r="C367">
            <v>-1</v>
          </cell>
          <cell r="D367">
            <v>4</v>
          </cell>
        </row>
        <row r="368">
          <cell r="A368" t="str">
            <v>EGD-0367</v>
          </cell>
          <cell r="B368">
            <v>0</v>
          </cell>
          <cell r="C368">
            <v>-1</v>
          </cell>
          <cell r="D368">
            <v>4</v>
          </cell>
        </row>
        <row r="369">
          <cell r="A369" t="str">
            <v>EGD-0368</v>
          </cell>
          <cell r="B369">
            <v>1</v>
          </cell>
          <cell r="C369">
            <v>0</v>
          </cell>
          <cell r="D369">
            <v>3</v>
          </cell>
        </row>
        <row r="370">
          <cell r="A370" t="str">
            <v>EGD-0369</v>
          </cell>
          <cell r="B370">
            <v>1</v>
          </cell>
          <cell r="C370">
            <v>1</v>
          </cell>
          <cell r="D370">
            <v>3</v>
          </cell>
        </row>
        <row r="371">
          <cell r="A371" t="str">
            <v>EGD-0370</v>
          </cell>
          <cell r="B371">
            <v>0</v>
          </cell>
          <cell r="C371">
            <v>-1</v>
          </cell>
          <cell r="D371">
            <v>4</v>
          </cell>
        </row>
        <row r="372">
          <cell r="A372" t="str">
            <v>EGD-0371</v>
          </cell>
          <cell r="B372">
            <v>-1</v>
          </cell>
          <cell r="C372">
            <v>-1</v>
          </cell>
          <cell r="D372">
            <v>4</v>
          </cell>
        </row>
        <row r="373">
          <cell r="A373" t="str">
            <v>EGD-0372</v>
          </cell>
          <cell r="B373">
            <v>-1</v>
          </cell>
          <cell r="C373">
            <v>0</v>
          </cell>
          <cell r="D373">
            <v>3</v>
          </cell>
        </row>
        <row r="374">
          <cell r="A374" t="str">
            <v>EGD-0373</v>
          </cell>
          <cell r="B374">
            <v>-1</v>
          </cell>
          <cell r="C374">
            <v>0</v>
          </cell>
          <cell r="D374">
            <v>-1</v>
          </cell>
        </row>
        <row r="375">
          <cell r="A375" t="str">
            <v>EGD-0374</v>
          </cell>
          <cell r="B375">
            <v>-1</v>
          </cell>
          <cell r="C375">
            <v>-1</v>
          </cell>
          <cell r="D375">
            <v>4</v>
          </cell>
        </row>
        <row r="376">
          <cell r="A376" t="str">
            <v>EGD-0375</v>
          </cell>
          <cell r="B376">
            <v>0</v>
          </cell>
          <cell r="C376">
            <v>-1</v>
          </cell>
          <cell r="D376">
            <v>4</v>
          </cell>
        </row>
        <row r="377">
          <cell r="A377" t="str">
            <v>EGD-0376</v>
          </cell>
          <cell r="B377">
            <v>0</v>
          </cell>
          <cell r="C377">
            <v>-1</v>
          </cell>
          <cell r="D377">
            <v>4</v>
          </cell>
        </row>
        <row r="378">
          <cell r="A378" t="str">
            <v>EGD-0377</v>
          </cell>
          <cell r="B378">
            <v>1</v>
          </cell>
          <cell r="C378">
            <v>0</v>
          </cell>
          <cell r="D378">
            <v>2</v>
          </cell>
        </row>
        <row r="379">
          <cell r="A379" t="str">
            <v>EGD-0378</v>
          </cell>
          <cell r="B379">
            <v>1</v>
          </cell>
          <cell r="C379">
            <v>0</v>
          </cell>
          <cell r="D379">
            <v>2</v>
          </cell>
        </row>
        <row r="380">
          <cell r="A380" t="str">
            <v>EGD-0379</v>
          </cell>
          <cell r="B380">
            <v>-1</v>
          </cell>
          <cell r="C380">
            <v>-1</v>
          </cell>
          <cell r="D380">
            <v>3</v>
          </cell>
        </row>
        <row r="381">
          <cell r="A381" t="str">
            <v>EGD-0380</v>
          </cell>
          <cell r="B381">
            <v>0</v>
          </cell>
          <cell r="C381">
            <v>-1</v>
          </cell>
          <cell r="D381">
            <v>4</v>
          </cell>
        </row>
        <row r="382">
          <cell r="A382" t="str">
            <v>EGD-0381</v>
          </cell>
          <cell r="B382">
            <v>0</v>
          </cell>
          <cell r="C382">
            <v>-1</v>
          </cell>
          <cell r="D382">
            <v>4</v>
          </cell>
        </row>
        <row r="383">
          <cell r="A383" t="str">
            <v>EGD-0382</v>
          </cell>
          <cell r="B383">
            <v>0</v>
          </cell>
          <cell r="C383">
            <v>0</v>
          </cell>
          <cell r="D383">
            <v>2</v>
          </cell>
        </row>
        <row r="384">
          <cell r="A384" t="str">
            <v>EGD-0383</v>
          </cell>
          <cell r="B384">
            <v>0</v>
          </cell>
          <cell r="C384">
            <v>-1</v>
          </cell>
          <cell r="D384">
            <v>4</v>
          </cell>
        </row>
        <row r="385">
          <cell r="A385" t="str">
            <v>EGD-0384</v>
          </cell>
          <cell r="B385">
            <v>-1</v>
          </cell>
          <cell r="C385">
            <v>-1</v>
          </cell>
          <cell r="D385">
            <v>3</v>
          </cell>
        </row>
        <row r="386">
          <cell r="A386" t="str">
            <v>EGD-0385</v>
          </cell>
          <cell r="B386">
            <v>1</v>
          </cell>
          <cell r="C386">
            <v>0</v>
          </cell>
          <cell r="D386">
            <v>2</v>
          </cell>
        </row>
        <row r="387">
          <cell r="A387" t="str">
            <v>EGD-0386</v>
          </cell>
          <cell r="B387">
            <v>-1</v>
          </cell>
          <cell r="C387">
            <v>-1</v>
          </cell>
          <cell r="D387">
            <v>4</v>
          </cell>
        </row>
        <row r="388">
          <cell r="A388" t="str">
            <v>EGD-0387</v>
          </cell>
          <cell r="B388">
            <v>1</v>
          </cell>
          <cell r="C388">
            <v>0</v>
          </cell>
          <cell r="D388">
            <v>2</v>
          </cell>
        </row>
        <row r="389">
          <cell r="A389" t="str">
            <v>EGD-0388</v>
          </cell>
          <cell r="B389">
            <v>0</v>
          </cell>
          <cell r="C389">
            <v>-1</v>
          </cell>
          <cell r="D389">
            <v>4</v>
          </cell>
        </row>
        <row r="390">
          <cell r="A390" t="str">
            <v>EGD-0389</v>
          </cell>
          <cell r="B390">
            <v>0</v>
          </cell>
          <cell r="C390">
            <v>0</v>
          </cell>
          <cell r="D390">
            <v>4</v>
          </cell>
        </row>
        <row r="391">
          <cell r="A391" t="str">
            <v>EGD-0390</v>
          </cell>
          <cell r="B391">
            <v>0</v>
          </cell>
          <cell r="C391">
            <v>0</v>
          </cell>
          <cell r="D391">
            <v>4</v>
          </cell>
        </row>
        <row r="392">
          <cell r="A392" t="str">
            <v>EGD-0391</v>
          </cell>
          <cell r="B392">
            <v>0</v>
          </cell>
          <cell r="C392">
            <v>-1</v>
          </cell>
          <cell r="D392">
            <v>4</v>
          </cell>
        </row>
        <row r="393">
          <cell r="A393" t="str">
            <v>EGD-0392</v>
          </cell>
          <cell r="B393">
            <v>0</v>
          </cell>
          <cell r="C393">
            <v>-1</v>
          </cell>
          <cell r="D393">
            <v>4</v>
          </cell>
        </row>
        <row r="394">
          <cell r="A394" t="str">
            <v>EGD-0393</v>
          </cell>
          <cell r="B394">
            <v>-1</v>
          </cell>
          <cell r="C394">
            <v>-1</v>
          </cell>
          <cell r="D394">
            <v>4</v>
          </cell>
        </row>
        <row r="395">
          <cell r="A395" t="str">
            <v>EGD-0394</v>
          </cell>
          <cell r="B395">
            <v>0</v>
          </cell>
          <cell r="C395">
            <v>0</v>
          </cell>
          <cell r="D395">
            <v>4</v>
          </cell>
        </row>
        <row r="396">
          <cell r="A396" t="str">
            <v>EGD-0395</v>
          </cell>
          <cell r="B396">
            <v>0</v>
          </cell>
          <cell r="C396">
            <v>-1</v>
          </cell>
          <cell r="D396">
            <v>4</v>
          </cell>
        </row>
        <row r="397">
          <cell r="A397" t="str">
            <v>EGD-0396</v>
          </cell>
          <cell r="B397">
            <v>-1</v>
          </cell>
          <cell r="C397">
            <v>-1</v>
          </cell>
          <cell r="D397">
            <v>4</v>
          </cell>
        </row>
        <row r="398">
          <cell r="A398" t="str">
            <v>EGD-0397</v>
          </cell>
          <cell r="B398">
            <v>0</v>
          </cell>
          <cell r="C398">
            <v>-1</v>
          </cell>
          <cell r="D398">
            <v>4</v>
          </cell>
        </row>
        <row r="399">
          <cell r="A399" t="str">
            <v>EGD-0398</v>
          </cell>
          <cell r="B399">
            <v>-1</v>
          </cell>
          <cell r="C399">
            <v>-1</v>
          </cell>
          <cell r="D399">
            <v>4</v>
          </cell>
        </row>
        <row r="400">
          <cell r="A400" t="str">
            <v>EGD-0399</v>
          </cell>
          <cell r="B400">
            <v>-1</v>
          </cell>
          <cell r="C400">
            <v>-1</v>
          </cell>
          <cell r="D400">
            <v>4</v>
          </cell>
        </row>
        <row r="401">
          <cell r="A401" t="str">
            <v>EGD-0400</v>
          </cell>
          <cell r="B401">
            <v>0</v>
          </cell>
          <cell r="C401">
            <v>0</v>
          </cell>
          <cell r="D401">
            <v>4</v>
          </cell>
        </row>
        <row r="402">
          <cell r="A402" t="str">
            <v>EGD-0401</v>
          </cell>
          <cell r="B402">
            <v>0</v>
          </cell>
          <cell r="C402">
            <v>0</v>
          </cell>
          <cell r="D402">
            <v>4</v>
          </cell>
        </row>
        <row r="403">
          <cell r="A403" t="str">
            <v>EGD-0402</v>
          </cell>
          <cell r="B403">
            <v>1</v>
          </cell>
          <cell r="C403">
            <v>1</v>
          </cell>
          <cell r="D403">
            <v>-1</v>
          </cell>
        </row>
        <row r="404">
          <cell r="A404" t="str">
            <v>EGD-0403</v>
          </cell>
          <cell r="B404">
            <v>1</v>
          </cell>
          <cell r="C404">
            <v>1</v>
          </cell>
          <cell r="D404">
            <v>2</v>
          </cell>
        </row>
        <row r="405">
          <cell r="A405" t="str">
            <v>EGD-0404</v>
          </cell>
          <cell r="B405">
            <v>-1</v>
          </cell>
          <cell r="C405">
            <v>-1</v>
          </cell>
          <cell r="D405">
            <v>4</v>
          </cell>
        </row>
        <row r="406">
          <cell r="A406" t="str">
            <v>EGD-0405</v>
          </cell>
          <cell r="B406">
            <v>0</v>
          </cell>
          <cell r="C406">
            <v>-1</v>
          </cell>
          <cell r="D406">
            <v>4</v>
          </cell>
        </row>
        <row r="407">
          <cell r="A407" t="str">
            <v>EGD-0406</v>
          </cell>
          <cell r="B407">
            <v>-1</v>
          </cell>
          <cell r="C407">
            <v>-1</v>
          </cell>
          <cell r="D407">
            <v>4</v>
          </cell>
        </row>
        <row r="408">
          <cell r="A408" t="str">
            <v>EGD-0407</v>
          </cell>
          <cell r="B408">
            <v>0</v>
          </cell>
          <cell r="C408">
            <v>-1</v>
          </cell>
          <cell r="D408">
            <v>4</v>
          </cell>
        </row>
        <row r="409">
          <cell r="A409" t="str">
            <v>EGD-0408</v>
          </cell>
          <cell r="B409">
            <v>-1</v>
          </cell>
          <cell r="C409">
            <v>-1</v>
          </cell>
          <cell r="D409">
            <v>4</v>
          </cell>
        </row>
        <row r="410">
          <cell r="A410" t="str">
            <v>EGD-0409</v>
          </cell>
          <cell r="B410">
            <v>-1</v>
          </cell>
          <cell r="C410">
            <v>0</v>
          </cell>
          <cell r="D410">
            <v>2</v>
          </cell>
        </row>
        <row r="411">
          <cell r="A411" t="str">
            <v>EGD-0410</v>
          </cell>
          <cell r="B411">
            <v>1</v>
          </cell>
          <cell r="C411">
            <v>0</v>
          </cell>
          <cell r="D411">
            <v>2</v>
          </cell>
        </row>
        <row r="412">
          <cell r="A412" t="str">
            <v>EGD-0411</v>
          </cell>
          <cell r="B412">
            <v>1</v>
          </cell>
          <cell r="C412">
            <v>1</v>
          </cell>
          <cell r="D412">
            <v>2</v>
          </cell>
        </row>
        <row r="413">
          <cell r="A413" t="str">
            <v>EGD-0412</v>
          </cell>
          <cell r="B413">
            <v>0</v>
          </cell>
          <cell r="C413">
            <v>-1</v>
          </cell>
          <cell r="D413">
            <v>-1</v>
          </cell>
        </row>
        <row r="414">
          <cell r="A414" t="str">
            <v>EGD-0413</v>
          </cell>
          <cell r="B414">
            <v>1</v>
          </cell>
          <cell r="C414">
            <v>0</v>
          </cell>
          <cell r="D414">
            <v>2</v>
          </cell>
        </row>
        <row r="415">
          <cell r="A415" t="str">
            <v>EGD-0414</v>
          </cell>
          <cell r="B415">
            <v>0</v>
          </cell>
          <cell r="C415">
            <v>-1</v>
          </cell>
          <cell r="D415">
            <v>4</v>
          </cell>
        </row>
        <row r="416">
          <cell r="A416" t="str">
            <v>EGD-0415</v>
          </cell>
          <cell r="B416">
            <v>1</v>
          </cell>
          <cell r="C416">
            <v>0</v>
          </cell>
          <cell r="D416">
            <v>2</v>
          </cell>
        </row>
        <row r="417">
          <cell r="A417" t="str">
            <v>EGD-0416</v>
          </cell>
          <cell r="B417">
            <v>0</v>
          </cell>
          <cell r="C417">
            <v>0</v>
          </cell>
          <cell r="D417">
            <v>2</v>
          </cell>
        </row>
        <row r="418">
          <cell r="A418" t="str">
            <v>EGD-0417</v>
          </cell>
          <cell r="B418">
            <v>0</v>
          </cell>
          <cell r="C418">
            <v>0</v>
          </cell>
          <cell r="D418">
            <v>4</v>
          </cell>
        </row>
        <row r="419">
          <cell r="A419" t="str">
            <v>EGD-0418</v>
          </cell>
          <cell r="B419">
            <v>0</v>
          </cell>
          <cell r="C419">
            <v>-1</v>
          </cell>
          <cell r="D419">
            <v>4</v>
          </cell>
        </row>
        <row r="420">
          <cell r="A420" t="str">
            <v>EGD-0419</v>
          </cell>
          <cell r="B420">
            <v>-1</v>
          </cell>
          <cell r="C420">
            <v>-1</v>
          </cell>
          <cell r="D420">
            <v>4</v>
          </cell>
        </row>
        <row r="421">
          <cell r="A421" t="str">
            <v>EGD-0420</v>
          </cell>
          <cell r="B421">
            <v>1</v>
          </cell>
          <cell r="C421">
            <v>1</v>
          </cell>
          <cell r="D421">
            <v>2</v>
          </cell>
        </row>
        <row r="422">
          <cell r="A422" t="str">
            <v>EGD-0421</v>
          </cell>
          <cell r="B422">
            <v>1</v>
          </cell>
          <cell r="C422">
            <v>1</v>
          </cell>
          <cell r="D422">
            <v>2</v>
          </cell>
        </row>
        <row r="423">
          <cell r="A423" t="str">
            <v>EGD-0422</v>
          </cell>
          <cell r="B423">
            <v>-1</v>
          </cell>
          <cell r="C423">
            <v>-1</v>
          </cell>
          <cell r="D423">
            <v>4</v>
          </cell>
        </row>
        <row r="424">
          <cell r="A424" t="str">
            <v>EGD-0423</v>
          </cell>
          <cell r="B424">
            <v>0</v>
          </cell>
          <cell r="C424">
            <v>0</v>
          </cell>
          <cell r="D424">
            <v>-1</v>
          </cell>
        </row>
        <row r="425">
          <cell r="A425" t="str">
            <v>EGD-0424</v>
          </cell>
          <cell r="B425">
            <v>0</v>
          </cell>
          <cell r="C425">
            <v>-1</v>
          </cell>
          <cell r="D425">
            <v>4</v>
          </cell>
        </row>
        <row r="426">
          <cell r="A426" t="str">
            <v>EGD-0425</v>
          </cell>
          <cell r="B426">
            <v>0</v>
          </cell>
          <cell r="C426">
            <v>-1</v>
          </cell>
          <cell r="D426">
            <v>4</v>
          </cell>
        </row>
        <row r="427">
          <cell r="A427" t="str">
            <v>EGD-0426</v>
          </cell>
          <cell r="B427">
            <v>1</v>
          </cell>
          <cell r="C427">
            <v>1</v>
          </cell>
          <cell r="D427">
            <v>3</v>
          </cell>
        </row>
        <row r="428">
          <cell r="A428" t="str">
            <v>EGD-0427</v>
          </cell>
          <cell r="B428">
            <v>0</v>
          </cell>
          <cell r="C428">
            <v>-1</v>
          </cell>
          <cell r="D428">
            <v>4</v>
          </cell>
        </row>
        <row r="429">
          <cell r="A429" t="str">
            <v>EGD-0428</v>
          </cell>
          <cell r="B429">
            <v>0</v>
          </cell>
          <cell r="C429">
            <v>0</v>
          </cell>
          <cell r="D429">
            <v>-1</v>
          </cell>
        </row>
        <row r="430">
          <cell r="A430" t="str">
            <v>EGD-0429</v>
          </cell>
          <cell r="B430">
            <v>-1</v>
          </cell>
          <cell r="C430">
            <v>-1</v>
          </cell>
          <cell r="D430">
            <v>4</v>
          </cell>
        </row>
        <row r="431">
          <cell r="A431" t="str">
            <v>EGD-0430</v>
          </cell>
          <cell r="B431">
            <v>0</v>
          </cell>
          <cell r="C431">
            <v>-1</v>
          </cell>
          <cell r="D431">
            <v>-1</v>
          </cell>
        </row>
        <row r="432">
          <cell r="A432" t="str">
            <v>EGD-0431</v>
          </cell>
          <cell r="B432">
            <v>0</v>
          </cell>
          <cell r="C432">
            <v>-1</v>
          </cell>
          <cell r="D432">
            <v>4</v>
          </cell>
        </row>
        <row r="433">
          <cell r="A433" t="str">
            <v>EGD-0432</v>
          </cell>
          <cell r="B433">
            <v>0</v>
          </cell>
          <cell r="C433">
            <v>0</v>
          </cell>
          <cell r="D433">
            <v>4</v>
          </cell>
        </row>
        <row r="434">
          <cell r="A434" t="str">
            <v>EGD-0433</v>
          </cell>
          <cell r="B434">
            <v>0</v>
          </cell>
          <cell r="C434">
            <v>-1</v>
          </cell>
          <cell r="D434">
            <v>4</v>
          </cell>
        </row>
        <row r="435">
          <cell r="A435" t="str">
            <v>EGD-0434</v>
          </cell>
          <cell r="B435">
            <v>1</v>
          </cell>
          <cell r="C435">
            <v>1</v>
          </cell>
          <cell r="D435">
            <v>3</v>
          </cell>
        </row>
        <row r="436">
          <cell r="A436" t="str">
            <v>EGD-0435</v>
          </cell>
          <cell r="B436">
            <v>-1</v>
          </cell>
          <cell r="C436">
            <v>-1</v>
          </cell>
          <cell r="D436">
            <v>4</v>
          </cell>
        </row>
        <row r="437">
          <cell r="A437" t="str">
            <v>EGD-0436</v>
          </cell>
          <cell r="B437">
            <v>-1</v>
          </cell>
          <cell r="C437">
            <v>-1</v>
          </cell>
          <cell r="D437">
            <v>4</v>
          </cell>
        </row>
        <row r="438">
          <cell r="A438" t="str">
            <v>EGD-0437</v>
          </cell>
          <cell r="B438">
            <v>-1</v>
          </cell>
          <cell r="C438">
            <v>-1</v>
          </cell>
          <cell r="D438">
            <v>4</v>
          </cell>
        </row>
        <row r="439">
          <cell r="A439" t="str">
            <v>EGD-0438</v>
          </cell>
          <cell r="B439">
            <v>0</v>
          </cell>
          <cell r="C439">
            <v>0</v>
          </cell>
          <cell r="D439">
            <v>3</v>
          </cell>
        </row>
        <row r="440">
          <cell r="A440" t="str">
            <v>EGD-0439</v>
          </cell>
          <cell r="B440">
            <v>1</v>
          </cell>
          <cell r="C440">
            <v>0</v>
          </cell>
          <cell r="D440">
            <v>3</v>
          </cell>
        </row>
        <row r="441">
          <cell r="A441" t="str">
            <v>EGD-0440</v>
          </cell>
          <cell r="B441">
            <v>0</v>
          </cell>
          <cell r="C441">
            <v>-1</v>
          </cell>
          <cell r="D441">
            <v>4</v>
          </cell>
        </row>
        <row r="442">
          <cell r="A442" t="str">
            <v>EGD-0441</v>
          </cell>
          <cell r="B442">
            <v>-1</v>
          </cell>
          <cell r="C442">
            <v>-1</v>
          </cell>
          <cell r="D442">
            <v>4</v>
          </cell>
        </row>
        <row r="443">
          <cell r="A443" t="str">
            <v>EGD-0442</v>
          </cell>
          <cell r="B443">
            <v>0</v>
          </cell>
          <cell r="C443">
            <v>0</v>
          </cell>
          <cell r="D443">
            <v>4</v>
          </cell>
        </row>
        <row r="444">
          <cell r="A444" t="str">
            <v>EGD-0443</v>
          </cell>
          <cell r="B444">
            <v>0</v>
          </cell>
          <cell r="C444">
            <v>-1</v>
          </cell>
          <cell r="D444">
            <v>4</v>
          </cell>
        </row>
        <row r="445">
          <cell r="A445" t="str">
            <v>EGD-0444</v>
          </cell>
          <cell r="B445">
            <v>-1</v>
          </cell>
          <cell r="C445">
            <v>-1</v>
          </cell>
          <cell r="D445">
            <v>4</v>
          </cell>
        </row>
        <row r="446">
          <cell r="A446" t="str">
            <v>EGD-0445</v>
          </cell>
          <cell r="B446">
            <v>-1</v>
          </cell>
          <cell r="C446">
            <v>-1</v>
          </cell>
          <cell r="D446">
            <v>4</v>
          </cell>
        </row>
        <row r="447">
          <cell r="A447" t="str">
            <v>EGD-0446</v>
          </cell>
          <cell r="B447">
            <v>-1</v>
          </cell>
          <cell r="C447">
            <v>-1</v>
          </cell>
          <cell r="D447">
            <v>4</v>
          </cell>
        </row>
        <row r="448">
          <cell r="A448" t="str">
            <v>EGD-0447</v>
          </cell>
          <cell r="B448">
            <v>0</v>
          </cell>
          <cell r="C448">
            <v>-1</v>
          </cell>
          <cell r="D448">
            <v>4</v>
          </cell>
        </row>
        <row r="449">
          <cell r="A449" t="str">
            <v>EGD-0448</v>
          </cell>
          <cell r="B449">
            <v>0</v>
          </cell>
          <cell r="C449">
            <v>-1</v>
          </cell>
          <cell r="D449">
            <v>4</v>
          </cell>
        </row>
        <row r="450">
          <cell r="A450" t="str">
            <v>EGD-0449</v>
          </cell>
          <cell r="B450">
            <v>0</v>
          </cell>
          <cell r="C450">
            <v>-1</v>
          </cell>
          <cell r="D450">
            <v>4</v>
          </cell>
        </row>
        <row r="451">
          <cell r="A451" t="str">
            <v>EGD-0450</v>
          </cell>
          <cell r="B451">
            <v>1</v>
          </cell>
          <cell r="C451">
            <v>1</v>
          </cell>
          <cell r="D451">
            <v>2</v>
          </cell>
        </row>
        <row r="452">
          <cell r="A452" t="str">
            <v>EGD-0451</v>
          </cell>
          <cell r="B452">
            <v>0</v>
          </cell>
          <cell r="C452">
            <v>-1</v>
          </cell>
          <cell r="D452">
            <v>4</v>
          </cell>
        </row>
        <row r="453">
          <cell r="A453" t="str">
            <v>EGD-0452</v>
          </cell>
          <cell r="B453">
            <v>0</v>
          </cell>
          <cell r="C453">
            <v>-1</v>
          </cell>
          <cell r="D453">
            <v>4</v>
          </cell>
        </row>
        <row r="454">
          <cell r="A454" t="str">
            <v>EGD-0453</v>
          </cell>
          <cell r="B454">
            <v>1</v>
          </cell>
          <cell r="C454">
            <v>0</v>
          </cell>
          <cell r="D454">
            <v>2</v>
          </cell>
        </row>
        <row r="455">
          <cell r="A455" t="str">
            <v>EGD-0454</v>
          </cell>
          <cell r="B455">
            <v>-1</v>
          </cell>
          <cell r="C455">
            <v>-1</v>
          </cell>
          <cell r="D455">
            <v>4</v>
          </cell>
        </row>
        <row r="456">
          <cell r="A456" t="str">
            <v>EGD-0455</v>
          </cell>
          <cell r="B456">
            <v>0</v>
          </cell>
          <cell r="C456">
            <v>-1</v>
          </cell>
          <cell r="D456">
            <v>4</v>
          </cell>
        </row>
        <row r="457">
          <cell r="A457" t="str">
            <v>EGD-0456</v>
          </cell>
          <cell r="B457">
            <v>-1</v>
          </cell>
          <cell r="C457">
            <v>-1</v>
          </cell>
          <cell r="D457">
            <v>4</v>
          </cell>
        </row>
        <row r="458">
          <cell r="A458" t="str">
            <v>EGD-0457</v>
          </cell>
          <cell r="B458">
            <v>0</v>
          </cell>
          <cell r="C458">
            <v>-1</v>
          </cell>
          <cell r="D458">
            <v>3</v>
          </cell>
        </row>
        <row r="459">
          <cell r="A459" t="str">
            <v>EGD-0458</v>
          </cell>
          <cell r="B459">
            <v>-1</v>
          </cell>
          <cell r="C459">
            <v>-1</v>
          </cell>
          <cell r="D459">
            <v>4</v>
          </cell>
        </row>
        <row r="460">
          <cell r="A460" t="str">
            <v>EGD-0459</v>
          </cell>
          <cell r="B460">
            <v>-1</v>
          </cell>
          <cell r="C460">
            <v>-1</v>
          </cell>
          <cell r="D460">
            <v>4</v>
          </cell>
        </row>
        <row r="461">
          <cell r="A461" t="str">
            <v>EGD-0460</v>
          </cell>
          <cell r="B461">
            <v>0</v>
          </cell>
          <cell r="C461">
            <v>-1</v>
          </cell>
          <cell r="D461">
            <v>-1</v>
          </cell>
        </row>
        <row r="462">
          <cell r="A462" t="str">
            <v>EGD-0461</v>
          </cell>
          <cell r="B462">
            <v>1</v>
          </cell>
          <cell r="C462">
            <v>1</v>
          </cell>
          <cell r="D462">
            <v>2</v>
          </cell>
        </row>
        <row r="463">
          <cell r="A463" t="str">
            <v>EGD-0462</v>
          </cell>
          <cell r="B463">
            <v>-1</v>
          </cell>
          <cell r="C463">
            <v>-1</v>
          </cell>
          <cell r="D463">
            <v>4</v>
          </cell>
        </row>
        <row r="464">
          <cell r="A464" t="str">
            <v>EGD-0463</v>
          </cell>
          <cell r="B464">
            <v>0</v>
          </cell>
          <cell r="C464">
            <v>-1</v>
          </cell>
          <cell r="D464">
            <v>4</v>
          </cell>
        </row>
        <row r="465">
          <cell r="A465" t="str">
            <v>EGD-0464</v>
          </cell>
          <cell r="B465">
            <v>0</v>
          </cell>
          <cell r="C465">
            <v>-1</v>
          </cell>
          <cell r="D465">
            <v>4</v>
          </cell>
        </row>
        <row r="466">
          <cell r="A466" t="str">
            <v>EGD-0465</v>
          </cell>
          <cell r="B466">
            <v>-1</v>
          </cell>
          <cell r="C466">
            <v>-1</v>
          </cell>
          <cell r="D466">
            <v>3</v>
          </cell>
        </row>
        <row r="467">
          <cell r="A467" t="str">
            <v>EGD-0466</v>
          </cell>
          <cell r="B467">
            <v>1</v>
          </cell>
          <cell r="C467">
            <v>0</v>
          </cell>
          <cell r="D467">
            <v>2</v>
          </cell>
        </row>
        <row r="468">
          <cell r="A468" t="str">
            <v>EGD-0467</v>
          </cell>
          <cell r="B468">
            <v>-1</v>
          </cell>
          <cell r="C468">
            <v>-1</v>
          </cell>
          <cell r="D468">
            <v>4</v>
          </cell>
        </row>
        <row r="469">
          <cell r="A469" t="str">
            <v>EGD-0468</v>
          </cell>
          <cell r="B469">
            <v>-1</v>
          </cell>
          <cell r="C469">
            <v>-1</v>
          </cell>
          <cell r="D469">
            <v>3</v>
          </cell>
        </row>
        <row r="470">
          <cell r="A470" t="str">
            <v>EGD-0469</v>
          </cell>
          <cell r="B470">
            <v>0</v>
          </cell>
          <cell r="C470">
            <v>-1</v>
          </cell>
          <cell r="D470">
            <v>4</v>
          </cell>
        </row>
        <row r="471">
          <cell r="A471" t="str">
            <v>EGD-0470</v>
          </cell>
          <cell r="B471">
            <v>0</v>
          </cell>
          <cell r="C471">
            <v>-1</v>
          </cell>
          <cell r="D471">
            <v>4</v>
          </cell>
        </row>
        <row r="472">
          <cell r="A472" t="str">
            <v>EGD-0471</v>
          </cell>
          <cell r="B472">
            <v>-1</v>
          </cell>
          <cell r="C472">
            <v>-1</v>
          </cell>
          <cell r="D472">
            <v>4</v>
          </cell>
        </row>
        <row r="473">
          <cell r="A473" t="str">
            <v>EGD-0472</v>
          </cell>
          <cell r="B473">
            <v>1</v>
          </cell>
          <cell r="C473">
            <v>1</v>
          </cell>
          <cell r="D473">
            <v>2</v>
          </cell>
        </row>
        <row r="474">
          <cell r="A474" t="str">
            <v>EGD-0473</v>
          </cell>
          <cell r="B474">
            <v>-1</v>
          </cell>
          <cell r="C474">
            <v>-1</v>
          </cell>
          <cell r="D474">
            <v>4</v>
          </cell>
        </row>
        <row r="475">
          <cell r="A475" t="str">
            <v>EGD-0474</v>
          </cell>
          <cell r="B475">
            <v>1</v>
          </cell>
          <cell r="C475">
            <v>1</v>
          </cell>
          <cell r="D475">
            <v>2</v>
          </cell>
        </row>
        <row r="476">
          <cell r="A476" t="str">
            <v>EGD-0475</v>
          </cell>
          <cell r="B476">
            <v>-1</v>
          </cell>
          <cell r="C476">
            <v>-1</v>
          </cell>
          <cell r="D476">
            <v>4</v>
          </cell>
        </row>
        <row r="477">
          <cell r="A477" t="str">
            <v>EGD-0476</v>
          </cell>
          <cell r="B477">
            <v>-1</v>
          </cell>
          <cell r="C477">
            <v>-1</v>
          </cell>
          <cell r="D477">
            <v>4</v>
          </cell>
        </row>
        <row r="478">
          <cell r="A478" t="str">
            <v>EGD-0477</v>
          </cell>
          <cell r="B478">
            <v>-1</v>
          </cell>
          <cell r="C478">
            <v>-1</v>
          </cell>
          <cell r="D478">
            <v>4</v>
          </cell>
        </row>
        <row r="479">
          <cell r="A479" t="str">
            <v>EGD-0478</v>
          </cell>
          <cell r="B479">
            <v>0</v>
          </cell>
          <cell r="C479">
            <v>-1</v>
          </cell>
          <cell r="D479">
            <v>-1</v>
          </cell>
        </row>
        <row r="480">
          <cell r="A480" t="str">
            <v>EGD-0479</v>
          </cell>
          <cell r="B480">
            <v>0</v>
          </cell>
          <cell r="C480">
            <v>0</v>
          </cell>
          <cell r="D480">
            <v>4</v>
          </cell>
        </row>
        <row r="481">
          <cell r="A481" t="str">
            <v>EGD-0480</v>
          </cell>
          <cell r="B481">
            <v>0</v>
          </cell>
          <cell r="C481">
            <v>0</v>
          </cell>
          <cell r="D481">
            <v>3</v>
          </cell>
        </row>
        <row r="482">
          <cell r="A482" t="str">
            <v>EGD-0481</v>
          </cell>
          <cell r="B482">
            <v>-1</v>
          </cell>
          <cell r="C482">
            <v>-1</v>
          </cell>
          <cell r="D482">
            <v>3</v>
          </cell>
        </row>
        <row r="483">
          <cell r="A483" t="str">
            <v>EGD-0482</v>
          </cell>
          <cell r="B483">
            <v>0</v>
          </cell>
          <cell r="C483">
            <v>0</v>
          </cell>
          <cell r="D483">
            <v>4</v>
          </cell>
        </row>
        <row r="484">
          <cell r="A484" t="str">
            <v>EGD-0483</v>
          </cell>
          <cell r="B484">
            <v>-1</v>
          </cell>
          <cell r="C484">
            <v>-1</v>
          </cell>
          <cell r="D484">
            <v>4</v>
          </cell>
        </row>
        <row r="485">
          <cell r="A485" t="str">
            <v>EGD-0484</v>
          </cell>
          <cell r="B485">
            <v>0</v>
          </cell>
          <cell r="C485">
            <v>-1</v>
          </cell>
          <cell r="D485">
            <v>-1</v>
          </cell>
        </row>
        <row r="486">
          <cell r="A486" t="str">
            <v>EGD-0485</v>
          </cell>
          <cell r="B486">
            <v>0</v>
          </cell>
          <cell r="C486">
            <v>-1</v>
          </cell>
          <cell r="D486">
            <v>4</v>
          </cell>
        </row>
        <row r="487">
          <cell r="A487" t="str">
            <v>EGD-0486</v>
          </cell>
          <cell r="B487">
            <v>0</v>
          </cell>
          <cell r="C487">
            <v>0</v>
          </cell>
          <cell r="D487">
            <v>4</v>
          </cell>
        </row>
        <row r="488">
          <cell r="A488" t="str">
            <v>EGD-0487</v>
          </cell>
          <cell r="B488">
            <v>1</v>
          </cell>
          <cell r="C488">
            <v>1</v>
          </cell>
          <cell r="D488">
            <v>2</v>
          </cell>
        </row>
        <row r="489">
          <cell r="A489" t="str">
            <v>EGD-0488</v>
          </cell>
          <cell r="B489">
            <v>0</v>
          </cell>
          <cell r="C489">
            <v>-1</v>
          </cell>
          <cell r="D489">
            <v>4</v>
          </cell>
        </row>
        <row r="490">
          <cell r="A490" t="str">
            <v>EGD-0489</v>
          </cell>
          <cell r="B490">
            <v>-1</v>
          </cell>
          <cell r="C490">
            <v>-1</v>
          </cell>
          <cell r="D490">
            <v>3</v>
          </cell>
        </row>
        <row r="491">
          <cell r="A491" t="str">
            <v>EGD-0490</v>
          </cell>
          <cell r="B491">
            <v>1</v>
          </cell>
          <cell r="C491">
            <v>1</v>
          </cell>
          <cell r="D491">
            <v>2</v>
          </cell>
        </row>
        <row r="492">
          <cell r="A492" t="str">
            <v>EGD-0491</v>
          </cell>
          <cell r="B492">
            <v>-1</v>
          </cell>
          <cell r="C492">
            <v>-1</v>
          </cell>
          <cell r="D492">
            <v>4</v>
          </cell>
        </row>
        <row r="493">
          <cell r="A493" t="str">
            <v>EGD-0492</v>
          </cell>
          <cell r="B493">
            <v>1</v>
          </cell>
          <cell r="C493">
            <v>0</v>
          </cell>
          <cell r="D493">
            <v>-1</v>
          </cell>
        </row>
        <row r="494">
          <cell r="A494" t="str">
            <v>EGD-0493</v>
          </cell>
          <cell r="B494">
            <v>-1</v>
          </cell>
          <cell r="C494">
            <v>-1</v>
          </cell>
          <cell r="D494">
            <v>2</v>
          </cell>
        </row>
        <row r="495">
          <cell r="A495" t="str">
            <v>EGD-0494</v>
          </cell>
          <cell r="B495">
            <v>0</v>
          </cell>
          <cell r="C495">
            <v>-1</v>
          </cell>
          <cell r="D495">
            <v>4</v>
          </cell>
        </row>
        <row r="496">
          <cell r="A496" t="str">
            <v>EGD-0495</v>
          </cell>
          <cell r="B496">
            <v>1</v>
          </cell>
          <cell r="C496">
            <v>1</v>
          </cell>
          <cell r="D496">
            <v>2</v>
          </cell>
        </row>
        <row r="497">
          <cell r="A497" t="str">
            <v>EGD-0496</v>
          </cell>
          <cell r="B497">
            <v>-1</v>
          </cell>
          <cell r="C497">
            <v>-1</v>
          </cell>
          <cell r="D497">
            <v>4</v>
          </cell>
        </row>
        <row r="498">
          <cell r="A498" t="str">
            <v>EGD-0497</v>
          </cell>
          <cell r="B498">
            <v>-1</v>
          </cell>
          <cell r="C498">
            <v>-1</v>
          </cell>
          <cell r="D498">
            <v>4</v>
          </cell>
        </row>
        <row r="499">
          <cell r="A499" t="str">
            <v>EGD-0498</v>
          </cell>
          <cell r="B499">
            <v>-1</v>
          </cell>
          <cell r="C499">
            <v>-1</v>
          </cell>
          <cell r="D499">
            <v>4</v>
          </cell>
        </row>
        <row r="500">
          <cell r="A500" t="str">
            <v>EGD-0499</v>
          </cell>
          <cell r="B500">
            <v>1</v>
          </cell>
          <cell r="C500">
            <v>1</v>
          </cell>
          <cell r="D500">
            <v>2</v>
          </cell>
        </row>
        <row r="501">
          <cell r="A501" t="str">
            <v>EGD-0500</v>
          </cell>
          <cell r="B501">
            <v>-1</v>
          </cell>
          <cell r="C501">
            <v>-1</v>
          </cell>
          <cell r="D501">
            <v>4</v>
          </cell>
        </row>
        <row r="502">
          <cell r="A502" t="str">
            <v>EGD-0501</v>
          </cell>
          <cell r="B502">
            <v>0</v>
          </cell>
          <cell r="C502">
            <v>-1</v>
          </cell>
          <cell r="D502">
            <v>4</v>
          </cell>
        </row>
        <row r="503">
          <cell r="A503" t="str">
            <v>EGD-0502</v>
          </cell>
          <cell r="B503">
            <v>0</v>
          </cell>
          <cell r="C503">
            <v>0</v>
          </cell>
          <cell r="D503">
            <v>4</v>
          </cell>
        </row>
        <row r="504">
          <cell r="A504" t="str">
            <v>EGD-0503</v>
          </cell>
          <cell r="B504">
            <v>0</v>
          </cell>
          <cell r="C504">
            <v>-1</v>
          </cell>
          <cell r="D504">
            <v>4</v>
          </cell>
        </row>
        <row r="505">
          <cell r="A505" t="str">
            <v>EGD-0504</v>
          </cell>
          <cell r="B505">
            <v>-1</v>
          </cell>
          <cell r="C505">
            <v>-1</v>
          </cell>
          <cell r="D505">
            <v>4</v>
          </cell>
        </row>
        <row r="506">
          <cell r="A506" t="str">
            <v>EGD-0505</v>
          </cell>
          <cell r="B506">
            <v>0</v>
          </cell>
          <cell r="C506">
            <v>0</v>
          </cell>
          <cell r="D506">
            <v>4</v>
          </cell>
        </row>
        <row r="507">
          <cell r="A507" t="str">
            <v>EGD-0506</v>
          </cell>
          <cell r="B507">
            <v>0</v>
          </cell>
          <cell r="C507">
            <v>-1</v>
          </cell>
          <cell r="D507">
            <v>4</v>
          </cell>
        </row>
        <row r="508">
          <cell r="A508" t="str">
            <v>EGD-0507</v>
          </cell>
          <cell r="B508">
            <v>0</v>
          </cell>
          <cell r="C508">
            <v>-1</v>
          </cell>
          <cell r="D508">
            <v>4</v>
          </cell>
        </row>
        <row r="509">
          <cell r="A509" t="str">
            <v>EGD-0508</v>
          </cell>
          <cell r="B509">
            <v>0</v>
          </cell>
          <cell r="C509">
            <v>0</v>
          </cell>
          <cell r="D509">
            <v>4</v>
          </cell>
        </row>
        <row r="510">
          <cell r="A510" t="str">
            <v>EGD-0509</v>
          </cell>
          <cell r="B510">
            <v>1</v>
          </cell>
          <cell r="C510">
            <v>1</v>
          </cell>
          <cell r="D510">
            <v>2</v>
          </cell>
        </row>
        <row r="511">
          <cell r="A511" t="str">
            <v>EGD-0510</v>
          </cell>
          <cell r="B511">
            <v>-1</v>
          </cell>
          <cell r="C511">
            <v>-1</v>
          </cell>
          <cell r="D511">
            <v>4</v>
          </cell>
        </row>
        <row r="512">
          <cell r="A512" t="str">
            <v>EGD-0511</v>
          </cell>
          <cell r="B512">
            <v>1</v>
          </cell>
          <cell r="C512">
            <v>0</v>
          </cell>
          <cell r="D512">
            <v>2</v>
          </cell>
        </row>
        <row r="513">
          <cell r="A513" t="str">
            <v>EGD-0512</v>
          </cell>
          <cell r="B513">
            <v>0</v>
          </cell>
          <cell r="C513">
            <v>0</v>
          </cell>
          <cell r="D513">
            <v>4</v>
          </cell>
        </row>
        <row r="514">
          <cell r="A514" t="str">
            <v>EGD-0513</v>
          </cell>
          <cell r="B514">
            <v>-1</v>
          </cell>
          <cell r="C514">
            <v>-1</v>
          </cell>
          <cell r="D514">
            <v>4</v>
          </cell>
        </row>
        <row r="515">
          <cell r="A515" t="str">
            <v>EGD-0514</v>
          </cell>
          <cell r="B515">
            <v>1</v>
          </cell>
          <cell r="C515">
            <v>1</v>
          </cell>
          <cell r="D515">
            <v>2</v>
          </cell>
        </row>
        <row r="516">
          <cell r="A516" t="str">
            <v>EGD-0515</v>
          </cell>
          <cell r="B516">
            <v>0</v>
          </cell>
          <cell r="C516">
            <v>0</v>
          </cell>
          <cell r="D516">
            <v>4</v>
          </cell>
        </row>
        <row r="517">
          <cell r="A517" t="str">
            <v>EGD-0516</v>
          </cell>
          <cell r="B517">
            <v>0</v>
          </cell>
          <cell r="C517">
            <v>0</v>
          </cell>
          <cell r="D517">
            <v>4</v>
          </cell>
        </row>
        <row r="518">
          <cell r="A518" t="str">
            <v>EGD-0517</v>
          </cell>
          <cell r="B518">
            <v>-1</v>
          </cell>
          <cell r="C518">
            <v>-1</v>
          </cell>
          <cell r="D518">
            <v>4</v>
          </cell>
        </row>
        <row r="519">
          <cell r="A519" t="str">
            <v>EGD-0518</v>
          </cell>
          <cell r="B519">
            <v>1</v>
          </cell>
          <cell r="C519">
            <v>1</v>
          </cell>
          <cell r="D519">
            <v>2</v>
          </cell>
        </row>
        <row r="520">
          <cell r="A520" t="str">
            <v>EGD-0519</v>
          </cell>
          <cell r="B520">
            <v>-1</v>
          </cell>
          <cell r="C520">
            <v>-1</v>
          </cell>
          <cell r="D520">
            <v>4</v>
          </cell>
        </row>
        <row r="521">
          <cell r="A521" t="str">
            <v>EGD-0520</v>
          </cell>
          <cell r="B521">
            <v>-1</v>
          </cell>
          <cell r="C521">
            <v>0</v>
          </cell>
          <cell r="D521">
            <v>3</v>
          </cell>
        </row>
        <row r="522">
          <cell r="A522" t="str">
            <v>EGD-0521</v>
          </cell>
          <cell r="B522">
            <v>1</v>
          </cell>
          <cell r="C522">
            <v>0</v>
          </cell>
          <cell r="D522">
            <v>2</v>
          </cell>
        </row>
        <row r="523">
          <cell r="A523" t="str">
            <v>EGD-0522</v>
          </cell>
          <cell r="B523">
            <v>0</v>
          </cell>
          <cell r="C523">
            <v>-1</v>
          </cell>
          <cell r="D523">
            <v>-1</v>
          </cell>
        </row>
        <row r="524">
          <cell r="A524" t="str">
            <v>EGD-0523</v>
          </cell>
          <cell r="B524">
            <v>1</v>
          </cell>
          <cell r="C524">
            <v>0</v>
          </cell>
          <cell r="D524">
            <v>2</v>
          </cell>
        </row>
        <row r="525">
          <cell r="A525" t="str">
            <v>EGD-0524</v>
          </cell>
          <cell r="B525">
            <v>0</v>
          </cell>
          <cell r="C525">
            <v>0</v>
          </cell>
          <cell r="D525">
            <v>-1</v>
          </cell>
        </row>
        <row r="526">
          <cell r="A526" t="str">
            <v>EGD-0525</v>
          </cell>
          <cell r="B526">
            <v>-1</v>
          </cell>
          <cell r="C526">
            <v>0</v>
          </cell>
          <cell r="D526">
            <v>3</v>
          </cell>
        </row>
        <row r="527">
          <cell r="A527" t="str">
            <v>EGD-0526</v>
          </cell>
          <cell r="B527">
            <v>0</v>
          </cell>
          <cell r="C527">
            <v>0</v>
          </cell>
          <cell r="D527">
            <v>2</v>
          </cell>
        </row>
        <row r="528">
          <cell r="A528" t="str">
            <v>EGD-0527</v>
          </cell>
          <cell r="B528">
            <v>-1</v>
          </cell>
          <cell r="C528">
            <v>-1</v>
          </cell>
          <cell r="D528">
            <v>3</v>
          </cell>
        </row>
        <row r="529">
          <cell r="A529" t="str">
            <v>EGD-0528</v>
          </cell>
          <cell r="B529">
            <v>-1</v>
          </cell>
          <cell r="C529">
            <v>-1</v>
          </cell>
          <cell r="D529">
            <v>4</v>
          </cell>
        </row>
        <row r="530">
          <cell r="A530" t="str">
            <v>EGD-0529</v>
          </cell>
          <cell r="B530">
            <v>0</v>
          </cell>
          <cell r="C530">
            <v>-1</v>
          </cell>
          <cell r="D530">
            <v>4</v>
          </cell>
        </row>
        <row r="531">
          <cell r="A531" t="str">
            <v>EGD-0530</v>
          </cell>
          <cell r="B531">
            <v>1</v>
          </cell>
          <cell r="C531">
            <v>0</v>
          </cell>
          <cell r="D531">
            <v>-1</v>
          </cell>
        </row>
        <row r="532">
          <cell r="A532" t="str">
            <v>EGD-0531</v>
          </cell>
          <cell r="B532">
            <v>0</v>
          </cell>
          <cell r="C532">
            <v>0</v>
          </cell>
          <cell r="D532">
            <v>4</v>
          </cell>
        </row>
        <row r="533">
          <cell r="A533" t="str">
            <v>EGD-0532</v>
          </cell>
          <cell r="B533">
            <v>0</v>
          </cell>
          <cell r="C533">
            <v>-1</v>
          </cell>
          <cell r="D533">
            <v>4</v>
          </cell>
        </row>
        <row r="534">
          <cell r="A534" t="str">
            <v>EGD-0533</v>
          </cell>
          <cell r="B534">
            <v>-1</v>
          </cell>
          <cell r="C534">
            <v>-1</v>
          </cell>
          <cell r="D534">
            <v>4</v>
          </cell>
        </row>
        <row r="535">
          <cell r="A535" t="str">
            <v>EGD-0534</v>
          </cell>
          <cell r="B535">
            <v>-1</v>
          </cell>
          <cell r="C535">
            <v>-1</v>
          </cell>
          <cell r="D535">
            <v>3</v>
          </cell>
        </row>
        <row r="536">
          <cell r="A536" t="str">
            <v>EGD-0535</v>
          </cell>
          <cell r="B536">
            <v>0</v>
          </cell>
          <cell r="C536">
            <v>-1</v>
          </cell>
          <cell r="D536">
            <v>4</v>
          </cell>
        </row>
        <row r="537">
          <cell r="A537" t="str">
            <v>EGD-0536</v>
          </cell>
          <cell r="B537">
            <v>1</v>
          </cell>
          <cell r="C537">
            <v>0</v>
          </cell>
          <cell r="D537">
            <v>-1</v>
          </cell>
        </row>
        <row r="538">
          <cell r="A538" t="str">
            <v>EGD-0537</v>
          </cell>
          <cell r="B538">
            <v>1</v>
          </cell>
          <cell r="C538">
            <v>1</v>
          </cell>
          <cell r="D538">
            <v>3</v>
          </cell>
        </row>
        <row r="539">
          <cell r="A539" t="str">
            <v>EGD-0538</v>
          </cell>
          <cell r="B539">
            <v>-1</v>
          </cell>
          <cell r="C539">
            <v>-1</v>
          </cell>
          <cell r="D539">
            <v>3</v>
          </cell>
        </row>
        <row r="540">
          <cell r="A540" t="str">
            <v>EGD-0539</v>
          </cell>
          <cell r="B540">
            <v>0</v>
          </cell>
          <cell r="C540">
            <v>-1</v>
          </cell>
          <cell r="D540">
            <v>4</v>
          </cell>
        </row>
        <row r="541">
          <cell r="A541" t="str">
            <v>EGD-0540</v>
          </cell>
          <cell r="B541">
            <v>-1</v>
          </cell>
          <cell r="C541">
            <v>-1</v>
          </cell>
          <cell r="D541">
            <v>3</v>
          </cell>
        </row>
        <row r="542">
          <cell r="A542" t="str">
            <v>EGD-0541</v>
          </cell>
          <cell r="B542">
            <v>1</v>
          </cell>
          <cell r="C542">
            <v>1</v>
          </cell>
          <cell r="D542">
            <v>3</v>
          </cell>
        </row>
        <row r="543">
          <cell r="A543" t="str">
            <v>EGD-0542</v>
          </cell>
          <cell r="B543">
            <v>-1</v>
          </cell>
          <cell r="C543">
            <v>-1</v>
          </cell>
          <cell r="D543">
            <v>4</v>
          </cell>
        </row>
        <row r="544">
          <cell r="A544" t="str">
            <v>EGD-0543</v>
          </cell>
          <cell r="B544">
            <v>1</v>
          </cell>
          <cell r="C544">
            <v>-1</v>
          </cell>
          <cell r="D544">
            <v>-1</v>
          </cell>
        </row>
        <row r="545">
          <cell r="A545" t="str">
            <v>EGD-0544</v>
          </cell>
          <cell r="B545">
            <v>0</v>
          </cell>
          <cell r="C545">
            <v>-1</v>
          </cell>
          <cell r="D545">
            <v>4</v>
          </cell>
        </row>
        <row r="546">
          <cell r="A546" t="str">
            <v>EGD-0545</v>
          </cell>
          <cell r="B546">
            <v>0</v>
          </cell>
          <cell r="C546">
            <v>0</v>
          </cell>
          <cell r="D546">
            <v>2</v>
          </cell>
        </row>
        <row r="547">
          <cell r="A547" t="str">
            <v>EGD-0546</v>
          </cell>
          <cell r="B547">
            <v>-1</v>
          </cell>
          <cell r="C547">
            <v>-1</v>
          </cell>
          <cell r="D547">
            <v>3</v>
          </cell>
        </row>
        <row r="548">
          <cell r="A548" t="str">
            <v>EGD-0547</v>
          </cell>
          <cell r="B548">
            <v>0</v>
          </cell>
          <cell r="C548">
            <v>-1</v>
          </cell>
          <cell r="D548">
            <v>4</v>
          </cell>
        </row>
        <row r="549">
          <cell r="A549" t="str">
            <v>EGD-0548</v>
          </cell>
          <cell r="B549">
            <v>0</v>
          </cell>
          <cell r="C549">
            <v>0</v>
          </cell>
          <cell r="D549">
            <v>-1</v>
          </cell>
        </row>
        <row r="550">
          <cell r="A550" t="str">
            <v>EGD-0549</v>
          </cell>
          <cell r="B550">
            <v>0</v>
          </cell>
          <cell r="C550">
            <v>-1</v>
          </cell>
          <cell r="D550">
            <v>-1</v>
          </cell>
        </row>
        <row r="551">
          <cell r="A551" t="str">
            <v>EGD-0550</v>
          </cell>
          <cell r="B551">
            <v>-1</v>
          </cell>
          <cell r="C551">
            <v>-1</v>
          </cell>
          <cell r="D551">
            <v>4</v>
          </cell>
        </row>
        <row r="552">
          <cell r="A552" t="str">
            <v>EGD-0551</v>
          </cell>
          <cell r="B552">
            <v>-1</v>
          </cell>
          <cell r="C552">
            <v>-1</v>
          </cell>
          <cell r="D552">
            <v>4</v>
          </cell>
        </row>
        <row r="553">
          <cell r="A553" t="str">
            <v>EGD-0552</v>
          </cell>
          <cell r="B553">
            <v>1</v>
          </cell>
          <cell r="C553">
            <v>1</v>
          </cell>
          <cell r="D553">
            <v>-1</v>
          </cell>
        </row>
        <row r="554">
          <cell r="A554" t="str">
            <v>EGD-0553</v>
          </cell>
          <cell r="B554">
            <v>1</v>
          </cell>
          <cell r="C554">
            <v>0</v>
          </cell>
          <cell r="D554">
            <v>2</v>
          </cell>
        </row>
        <row r="555">
          <cell r="A555" t="str">
            <v>EGD-0554</v>
          </cell>
          <cell r="B555">
            <v>-1</v>
          </cell>
          <cell r="C555">
            <v>-1</v>
          </cell>
          <cell r="D555">
            <v>3</v>
          </cell>
        </row>
        <row r="556">
          <cell r="A556" t="str">
            <v>EGD-0555</v>
          </cell>
          <cell r="B556">
            <v>-1</v>
          </cell>
          <cell r="C556">
            <v>-1</v>
          </cell>
          <cell r="D556">
            <v>4</v>
          </cell>
        </row>
        <row r="557">
          <cell r="A557" t="str">
            <v>EGD-0556</v>
          </cell>
          <cell r="B557">
            <v>-1</v>
          </cell>
          <cell r="C557">
            <v>-1</v>
          </cell>
          <cell r="D557">
            <v>4</v>
          </cell>
        </row>
        <row r="558">
          <cell r="A558" t="str">
            <v>EGD-0557</v>
          </cell>
          <cell r="B558">
            <v>0</v>
          </cell>
          <cell r="C558">
            <v>-1</v>
          </cell>
          <cell r="D558">
            <v>-1</v>
          </cell>
        </row>
        <row r="559">
          <cell r="A559" t="str">
            <v>EGD-0558</v>
          </cell>
          <cell r="B559">
            <v>0</v>
          </cell>
          <cell r="C559">
            <v>-1</v>
          </cell>
          <cell r="D559">
            <v>4</v>
          </cell>
        </row>
        <row r="560">
          <cell r="A560" t="str">
            <v>EGD-0559</v>
          </cell>
          <cell r="B560">
            <v>-1</v>
          </cell>
          <cell r="C560">
            <v>-1</v>
          </cell>
          <cell r="D560">
            <v>4</v>
          </cell>
        </row>
        <row r="561">
          <cell r="A561" t="str">
            <v>EGD-0560</v>
          </cell>
          <cell r="B561">
            <v>-1</v>
          </cell>
          <cell r="C561">
            <v>-1</v>
          </cell>
          <cell r="D561">
            <v>4</v>
          </cell>
        </row>
        <row r="562">
          <cell r="A562" t="str">
            <v>EGD-0561</v>
          </cell>
          <cell r="B562">
            <v>1</v>
          </cell>
          <cell r="C562">
            <v>1</v>
          </cell>
          <cell r="D562">
            <v>2</v>
          </cell>
        </row>
        <row r="563">
          <cell r="A563" t="str">
            <v>EGD-0562</v>
          </cell>
          <cell r="B563">
            <v>-1</v>
          </cell>
          <cell r="C563">
            <v>-1</v>
          </cell>
          <cell r="D563">
            <v>4</v>
          </cell>
        </row>
        <row r="564">
          <cell r="A564" t="str">
            <v>EGD-0563</v>
          </cell>
          <cell r="B564">
            <v>1</v>
          </cell>
          <cell r="C564">
            <v>0</v>
          </cell>
          <cell r="D564">
            <v>-1</v>
          </cell>
        </row>
        <row r="565">
          <cell r="A565" t="str">
            <v>EGD-0564</v>
          </cell>
          <cell r="B565">
            <v>1</v>
          </cell>
          <cell r="C565">
            <v>0</v>
          </cell>
          <cell r="D565">
            <v>3</v>
          </cell>
        </row>
        <row r="566">
          <cell r="A566" t="str">
            <v>EGD-0565</v>
          </cell>
          <cell r="B566">
            <v>1</v>
          </cell>
          <cell r="C566">
            <v>0</v>
          </cell>
          <cell r="D566">
            <v>2</v>
          </cell>
        </row>
        <row r="567">
          <cell r="A567" t="str">
            <v>EGD-0566</v>
          </cell>
          <cell r="B567">
            <v>-1</v>
          </cell>
          <cell r="C567">
            <v>-1</v>
          </cell>
          <cell r="D567">
            <v>4</v>
          </cell>
        </row>
        <row r="568">
          <cell r="A568" t="str">
            <v>EGD-0567</v>
          </cell>
          <cell r="B568">
            <v>1</v>
          </cell>
          <cell r="C568">
            <v>0</v>
          </cell>
          <cell r="D568">
            <v>3</v>
          </cell>
        </row>
        <row r="569">
          <cell r="A569" t="str">
            <v>EGD-0568</v>
          </cell>
          <cell r="B569">
            <v>1</v>
          </cell>
          <cell r="C569">
            <v>0</v>
          </cell>
          <cell r="D569">
            <v>2</v>
          </cell>
        </row>
        <row r="570">
          <cell r="A570" t="str">
            <v>EGD-0569</v>
          </cell>
          <cell r="B570">
            <v>-1</v>
          </cell>
          <cell r="C570">
            <v>-1</v>
          </cell>
          <cell r="D570">
            <v>4</v>
          </cell>
        </row>
        <row r="571">
          <cell r="A571" t="str">
            <v>EGD-0570</v>
          </cell>
          <cell r="B571">
            <v>-1</v>
          </cell>
          <cell r="C571">
            <v>-1</v>
          </cell>
          <cell r="D571">
            <v>4</v>
          </cell>
        </row>
        <row r="572">
          <cell r="A572" t="str">
            <v>EGD-0571</v>
          </cell>
          <cell r="B572">
            <v>1</v>
          </cell>
          <cell r="C572">
            <v>0</v>
          </cell>
          <cell r="D572">
            <v>-1</v>
          </cell>
        </row>
        <row r="573">
          <cell r="A573" t="str">
            <v>EGD-0572</v>
          </cell>
          <cell r="B573">
            <v>1</v>
          </cell>
          <cell r="C573">
            <v>1</v>
          </cell>
          <cell r="D573">
            <v>2</v>
          </cell>
        </row>
        <row r="574">
          <cell r="A574" t="str">
            <v>EGD-0573</v>
          </cell>
          <cell r="B574">
            <v>-1</v>
          </cell>
          <cell r="C574">
            <v>-1</v>
          </cell>
          <cell r="D574">
            <v>4</v>
          </cell>
        </row>
        <row r="575">
          <cell r="A575" t="str">
            <v>EGD-0574</v>
          </cell>
          <cell r="B575">
            <v>-1</v>
          </cell>
          <cell r="C575">
            <v>0</v>
          </cell>
          <cell r="D575">
            <v>-1</v>
          </cell>
        </row>
        <row r="576">
          <cell r="A576" t="str">
            <v>EGD-0575</v>
          </cell>
          <cell r="B576">
            <v>0</v>
          </cell>
          <cell r="C576">
            <v>0</v>
          </cell>
          <cell r="D576">
            <v>-1</v>
          </cell>
        </row>
        <row r="577">
          <cell r="A577" t="str">
            <v>EGD-0576</v>
          </cell>
          <cell r="B577">
            <v>-1</v>
          </cell>
          <cell r="C577">
            <v>-1</v>
          </cell>
          <cell r="D577">
            <v>4</v>
          </cell>
        </row>
        <row r="578">
          <cell r="A578" t="str">
            <v>EGD-0577</v>
          </cell>
          <cell r="B578">
            <v>1</v>
          </cell>
          <cell r="C578">
            <v>0</v>
          </cell>
          <cell r="D578">
            <v>3</v>
          </cell>
        </row>
        <row r="579">
          <cell r="A579" t="str">
            <v>EGD-0578</v>
          </cell>
          <cell r="B579">
            <v>0</v>
          </cell>
          <cell r="C579">
            <v>-1</v>
          </cell>
          <cell r="D579">
            <v>-1</v>
          </cell>
        </row>
        <row r="580">
          <cell r="A580" t="str">
            <v>EGD-0579</v>
          </cell>
          <cell r="B580">
            <v>0</v>
          </cell>
          <cell r="C580">
            <v>0</v>
          </cell>
          <cell r="D580">
            <v>2</v>
          </cell>
        </row>
        <row r="581">
          <cell r="A581" t="str">
            <v>EGD-0580</v>
          </cell>
          <cell r="B581">
            <v>0</v>
          </cell>
          <cell r="C581">
            <v>0</v>
          </cell>
          <cell r="D581">
            <v>2</v>
          </cell>
        </row>
        <row r="582">
          <cell r="A582" t="str">
            <v>EGD-0581</v>
          </cell>
          <cell r="B582">
            <v>0</v>
          </cell>
          <cell r="C582">
            <v>-1</v>
          </cell>
          <cell r="D582">
            <v>4</v>
          </cell>
        </row>
        <row r="583">
          <cell r="A583" t="str">
            <v>EGD-0582</v>
          </cell>
          <cell r="B583">
            <v>-1</v>
          </cell>
          <cell r="C583">
            <v>-1</v>
          </cell>
          <cell r="D583">
            <v>4</v>
          </cell>
        </row>
        <row r="584">
          <cell r="A584" t="str">
            <v>EGD-0583</v>
          </cell>
          <cell r="B584">
            <v>-1</v>
          </cell>
          <cell r="C584">
            <v>-1</v>
          </cell>
          <cell r="D584">
            <v>4</v>
          </cell>
        </row>
        <row r="585">
          <cell r="A585" t="str">
            <v>EGD-0584</v>
          </cell>
          <cell r="B585">
            <v>-1</v>
          </cell>
          <cell r="C585">
            <v>-1</v>
          </cell>
          <cell r="D585">
            <v>4</v>
          </cell>
        </row>
        <row r="586">
          <cell r="A586" t="str">
            <v>EGD-0585</v>
          </cell>
          <cell r="B586">
            <v>1</v>
          </cell>
          <cell r="C586">
            <v>0</v>
          </cell>
          <cell r="D586">
            <v>2</v>
          </cell>
        </row>
        <row r="587">
          <cell r="A587" t="str">
            <v>EGD-0586</v>
          </cell>
          <cell r="B587">
            <v>1</v>
          </cell>
          <cell r="C587">
            <v>0</v>
          </cell>
          <cell r="D587">
            <v>2</v>
          </cell>
        </row>
        <row r="588">
          <cell r="A588" t="str">
            <v>EGD-0587</v>
          </cell>
          <cell r="B588">
            <v>0</v>
          </cell>
          <cell r="C588">
            <v>-1</v>
          </cell>
          <cell r="D588">
            <v>4</v>
          </cell>
        </row>
        <row r="589">
          <cell r="A589" t="str">
            <v>EGD-0588</v>
          </cell>
          <cell r="B589">
            <v>-1</v>
          </cell>
          <cell r="C589">
            <v>-1</v>
          </cell>
          <cell r="D589">
            <v>4</v>
          </cell>
        </row>
        <row r="590">
          <cell r="A590" t="str">
            <v>EGD-0589</v>
          </cell>
          <cell r="B590">
            <v>0</v>
          </cell>
          <cell r="C590">
            <v>-1</v>
          </cell>
          <cell r="D590">
            <v>4</v>
          </cell>
        </row>
        <row r="591">
          <cell r="A591" t="str">
            <v>EGD-0590</v>
          </cell>
          <cell r="B591">
            <v>-1</v>
          </cell>
          <cell r="C591">
            <v>-1</v>
          </cell>
          <cell r="D591">
            <v>4</v>
          </cell>
        </row>
        <row r="592">
          <cell r="A592" t="str">
            <v>EGD-0591</v>
          </cell>
          <cell r="B592">
            <v>0</v>
          </cell>
          <cell r="C592">
            <v>-1</v>
          </cell>
          <cell r="D592">
            <v>4</v>
          </cell>
        </row>
        <row r="593">
          <cell r="A593" t="str">
            <v>EGD-0592</v>
          </cell>
          <cell r="B593">
            <v>0</v>
          </cell>
          <cell r="C593">
            <v>0</v>
          </cell>
          <cell r="D593">
            <v>2</v>
          </cell>
        </row>
        <row r="594">
          <cell r="A594" t="str">
            <v>EGD-0593</v>
          </cell>
          <cell r="B594">
            <v>0</v>
          </cell>
          <cell r="C594">
            <v>-1</v>
          </cell>
          <cell r="D594">
            <v>4</v>
          </cell>
        </row>
        <row r="595">
          <cell r="A595" t="str">
            <v>EGD-0594</v>
          </cell>
          <cell r="B595">
            <v>0</v>
          </cell>
          <cell r="C595">
            <v>-1</v>
          </cell>
          <cell r="D595">
            <v>4</v>
          </cell>
        </row>
        <row r="596">
          <cell r="A596" t="str">
            <v>EGD-0595</v>
          </cell>
          <cell r="B596">
            <v>0</v>
          </cell>
          <cell r="C596">
            <v>0</v>
          </cell>
          <cell r="D596">
            <v>4</v>
          </cell>
        </row>
        <row r="597">
          <cell r="A597" t="str">
            <v>EGD-0596</v>
          </cell>
          <cell r="B597">
            <v>0</v>
          </cell>
          <cell r="C597">
            <v>-1</v>
          </cell>
          <cell r="D597">
            <v>4</v>
          </cell>
        </row>
        <row r="598">
          <cell r="A598" t="str">
            <v>EGD-0597</v>
          </cell>
          <cell r="B598">
            <v>-1</v>
          </cell>
          <cell r="C598">
            <v>-1</v>
          </cell>
          <cell r="D598">
            <v>4</v>
          </cell>
        </row>
        <row r="599">
          <cell r="A599" t="str">
            <v>EGD-0598</v>
          </cell>
          <cell r="B599">
            <v>1</v>
          </cell>
          <cell r="C599">
            <v>1</v>
          </cell>
          <cell r="D599">
            <v>-1</v>
          </cell>
        </row>
        <row r="600">
          <cell r="A600" t="str">
            <v>EGD-0599</v>
          </cell>
          <cell r="B600">
            <v>0</v>
          </cell>
          <cell r="C600">
            <v>-1</v>
          </cell>
          <cell r="D600">
            <v>4</v>
          </cell>
        </row>
        <row r="601">
          <cell r="A601" t="str">
            <v>EGD-0600</v>
          </cell>
          <cell r="B601">
            <v>0</v>
          </cell>
          <cell r="C601">
            <v>0</v>
          </cell>
          <cell r="D601">
            <v>4</v>
          </cell>
        </row>
        <row r="602">
          <cell r="A602" t="str">
            <v>EGD-0601</v>
          </cell>
          <cell r="B602">
            <v>1</v>
          </cell>
          <cell r="C602">
            <v>1</v>
          </cell>
          <cell r="D602">
            <v>2</v>
          </cell>
        </row>
        <row r="603">
          <cell r="A603" t="str">
            <v>EGD-0602</v>
          </cell>
          <cell r="B603">
            <v>0</v>
          </cell>
          <cell r="C603">
            <v>-1</v>
          </cell>
          <cell r="D603">
            <v>4</v>
          </cell>
        </row>
        <row r="604">
          <cell r="A604" t="str">
            <v>EGD-0603</v>
          </cell>
          <cell r="B604">
            <v>0</v>
          </cell>
          <cell r="C604">
            <v>-1</v>
          </cell>
          <cell r="D604">
            <v>4</v>
          </cell>
        </row>
        <row r="605">
          <cell r="A605" t="str">
            <v>EGD-0604</v>
          </cell>
          <cell r="B605">
            <v>0</v>
          </cell>
          <cell r="C605">
            <v>0</v>
          </cell>
          <cell r="D605">
            <v>2</v>
          </cell>
        </row>
        <row r="606">
          <cell r="A606" t="str">
            <v>EGD-0605</v>
          </cell>
          <cell r="B606">
            <v>0</v>
          </cell>
          <cell r="C606">
            <v>-1</v>
          </cell>
          <cell r="D606">
            <v>4</v>
          </cell>
        </row>
        <row r="607">
          <cell r="A607" t="str">
            <v>EGD-0606</v>
          </cell>
          <cell r="B607">
            <v>1</v>
          </cell>
          <cell r="C607">
            <v>1</v>
          </cell>
          <cell r="D607">
            <v>3</v>
          </cell>
        </row>
        <row r="608">
          <cell r="A608" t="str">
            <v>EGD-0607</v>
          </cell>
          <cell r="B608">
            <v>-1</v>
          </cell>
          <cell r="C608">
            <v>-1</v>
          </cell>
          <cell r="D608">
            <v>4</v>
          </cell>
        </row>
        <row r="609">
          <cell r="A609" t="str">
            <v>EGD-0608</v>
          </cell>
          <cell r="B609">
            <v>0</v>
          </cell>
          <cell r="C609">
            <v>-1</v>
          </cell>
          <cell r="D609">
            <v>4</v>
          </cell>
        </row>
        <row r="610">
          <cell r="A610" t="str">
            <v>EGD-0609</v>
          </cell>
          <cell r="B610">
            <v>-1</v>
          </cell>
          <cell r="C610">
            <v>0</v>
          </cell>
          <cell r="D610">
            <v>3</v>
          </cell>
        </row>
        <row r="611">
          <cell r="A611" t="str">
            <v>EGD-0610</v>
          </cell>
          <cell r="B611">
            <v>-1</v>
          </cell>
          <cell r="C611">
            <v>-1</v>
          </cell>
          <cell r="D611">
            <v>4</v>
          </cell>
        </row>
        <row r="612">
          <cell r="A612" t="str">
            <v>EGD-0611</v>
          </cell>
          <cell r="B612">
            <v>0</v>
          </cell>
          <cell r="C612">
            <v>0</v>
          </cell>
          <cell r="D612">
            <v>4</v>
          </cell>
        </row>
        <row r="613">
          <cell r="A613" t="str">
            <v>EGD-0612</v>
          </cell>
          <cell r="B613">
            <v>0</v>
          </cell>
          <cell r="C613">
            <v>0</v>
          </cell>
          <cell r="D613">
            <v>4</v>
          </cell>
        </row>
        <row r="614">
          <cell r="A614" t="str">
            <v>EGD-0613</v>
          </cell>
          <cell r="B614">
            <v>-1</v>
          </cell>
          <cell r="C614">
            <v>-1</v>
          </cell>
          <cell r="D614">
            <v>4</v>
          </cell>
        </row>
        <row r="615">
          <cell r="A615" t="str">
            <v>EGD-0614</v>
          </cell>
          <cell r="B615">
            <v>-1</v>
          </cell>
          <cell r="C615">
            <v>-1</v>
          </cell>
          <cell r="D615">
            <v>4</v>
          </cell>
        </row>
        <row r="616">
          <cell r="A616" t="str">
            <v>EGD-0615</v>
          </cell>
          <cell r="B616">
            <v>-1</v>
          </cell>
          <cell r="C616">
            <v>-1</v>
          </cell>
          <cell r="D616">
            <v>4</v>
          </cell>
        </row>
        <row r="617">
          <cell r="A617" t="str">
            <v>EGD-0616</v>
          </cell>
          <cell r="B617">
            <v>-1</v>
          </cell>
          <cell r="C617">
            <v>-1</v>
          </cell>
          <cell r="D617">
            <v>4</v>
          </cell>
        </row>
        <row r="618">
          <cell r="A618" t="str">
            <v>EGD-0617</v>
          </cell>
          <cell r="B618">
            <v>0</v>
          </cell>
          <cell r="C618">
            <v>-1</v>
          </cell>
          <cell r="D618">
            <v>4</v>
          </cell>
        </row>
        <row r="619">
          <cell r="A619" t="str">
            <v>EGD-0618</v>
          </cell>
          <cell r="B619">
            <v>-1</v>
          </cell>
          <cell r="C619">
            <v>-1</v>
          </cell>
          <cell r="D619">
            <v>4</v>
          </cell>
        </row>
        <row r="620">
          <cell r="A620" t="str">
            <v>EGD-0619</v>
          </cell>
          <cell r="B620">
            <v>-1</v>
          </cell>
          <cell r="C620">
            <v>-1</v>
          </cell>
          <cell r="D620">
            <v>3</v>
          </cell>
        </row>
        <row r="621">
          <cell r="A621" t="str">
            <v>EGD-0620</v>
          </cell>
          <cell r="B621">
            <v>-1</v>
          </cell>
          <cell r="C621">
            <v>-1</v>
          </cell>
          <cell r="D621">
            <v>4</v>
          </cell>
        </row>
        <row r="622">
          <cell r="A622" t="str">
            <v>EGD-0621</v>
          </cell>
          <cell r="B622">
            <v>0</v>
          </cell>
          <cell r="C622">
            <v>0</v>
          </cell>
          <cell r="D622">
            <v>4</v>
          </cell>
        </row>
        <row r="623">
          <cell r="A623" t="str">
            <v>EGD-0622</v>
          </cell>
          <cell r="B623">
            <v>0</v>
          </cell>
          <cell r="C623">
            <v>-1</v>
          </cell>
          <cell r="D623">
            <v>4</v>
          </cell>
        </row>
        <row r="624">
          <cell r="A624" t="str">
            <v>EGD-0623</v>
          </cell>
          <cell r="B624">
            <v>-1</v>
          </cell>
          <cell r="C624">
            <v>-1</v>
          </cell>
          <cell r="D624">
            <v>4</v>
          </cell>
        </row>
        <row r="625">
          <cell r="A625" t="str">
            <v>EGD-0624</v>
          </cell>
          <cell r="B625">
            <v>0</v>
          </cell>
          <cell r="C625">
            <v>-1</v>
          </cell>
          <cell r="D625">
            <v>4</v>
          </cell>
        </row>
        <row r="626">
          <cell r="A626" t="str">
            <v>EGD-0625</v>
          </cell>
          <cell r="B626">
            <v>0</v>
          </cell>
          <cell r="C626">
            <v>0</v>
          </cell>
          <cell r="D626">
            <v>4</v>
          </cell>
        </row>
        <row r="627">
          <cell r="A627" t="str">
            <v>EGD-0626</v>
          </cell>
          <cell r="B627">
            <v>1</v>
          </cell>
          <cell r="C627">
            <v>0</v>
          </cell>
          <cell r="D627">
            <v>2</v>
          </cell>
        </row>
        <row r="628">
          <cell r="A628" t="str">
            <v>EGD-0627</v>
          </cell>
          <cell r="B628">
            <v>0</v>
          </cell>
          <cell r="C628">
            <v>-1</v>
          </cell>
          <cell r="D628">
            <v>4</v>
          </cell>
        </row>
        <row r="629">
          <cell r="A629" t="str">
            <v>EGD-0628</v>
          </cell>
          <cell r="B629">
            <v>-1</v>
          </cell>
          <cell r="C629">
            <v>-1</v>
          </cell>
          <cell r="D629">
            <v>4</v>
          </cell>
        </row>
        <row r="630">
          <cell r="A630" t="str">
            <v>EGD-0629</v>
          </cell>
          <cell r="B630">
            <v>0</v>
          </cell>
          <cell r="C630">
            <v>0</v>
          </cell>
          <cell r="D630">
            <v>4</v>
          </cell>
        </row>
        <row r="631">
          <cell r="A631" t="str">
            <v>EGD-0630</v>
          </cell>
          <cell r="B631">
            <v>-1</v>
          </cell>
          <cell r="C631">
            <v>-1</v>
          </cell>
          <cell r="D631">
            <v>4</v>
          </cell>
        </row>
        <row r="632">
          <cell r="A632" t="str">
            <v>EGD-0631</v>
          </cell>
          <cell r="B632">
            <v>1</v>
          </cell>
          <cell r="C632">
            <v>1</v>
          </cell>
          <cell r="D632">
            <v>2</v>
          </cell>
        </row>
        <row r="633">
          <cell r="A633" t="str">
            <v>EGD-0632</v>
          </cell>
          <cell r="B633">
            <v>0</v>
          </cell>
          <cell r="C633">
            <v>-1</v>
          </cell>
          <cell r="D633">
            <v>4</v>
          </cell>
        </row>
        <row r="634">
          <cell r="A634" t="str">
            <v>EGD-0633</v>
          </cell>
          <cell r="B634">
            <v>1</v>
          </cell>
          <cell r="C634">
            <v>1</v>
          </cell>
          <cell r="D634">
            <v>3</v>
          </cell>
        </row>
        <row r="635">
          <cell r="A635" t="str">
            <v>EGD-0634</v>
          </cell>
          <cell r="B635">
            <v>-1</v>
          </cell>
          <cell r="C635">
            <v>-1</v>
          </cell>
          <cell r="D635">
            <v>4</v>
          </cell>
        </row>
        <row r="636">
          <cell r="A636" t="str">
            <v>EGD-0635</v>
          </cell>
          <cell r="B636">
            <v>0</v>
          </cell>
          <cell r="C636">
            <v>-1</v>
          </cell>
          <cell r="D636">
            <v>4</v>
          </cell>
        </row>
        <row r="637">
          <cell r="A637" t="str">
            <v>EGD-0636</v>
          </cell>
          <cell r="B637">
            <v>1</v>
          </cell>
          <cell r="C637">
            <v>1</v>
          </cell>
          <cell r="D637">
            <v>2</v>
          </cell>
        </row>
        <row r="638">
          <cell r="A638" t="str">
            <v>EGD-0637</v>
          </cell>
          <cell r="B638">
            <v>-1</v>
          </cell>
          <cell r="C638">
            <v>-1</v>
          </cell>
          <cell r="D638">
            <v>4</v>
          </cell>
        </row>
        <row r="639">
          <cell r="A639" t="str">
            <v>EGD-0638</v>
          </cell>
          <cell r="B639">
            <v>1</v>
          </cell>
          <cell r="C639">
            <v>1</v>
          </cell>
          <cell r="D639">
            <v>-1</v>
          </cell>
        </row>
        <row r="640">
          <cell r="A640" t="str">
            <v>EGD-0639</v>
          </cell>
          <cell r="B640">
            <v>0</v>
          </cell>
          <cell r="C640">
            <v>-1</v>
          </cell>
          <cell r="D640">
            <v>4</v>
          </cell>
        </row>
        <row r="641">
          <cell r="A641" t="str">
            <v>EGD-0640</v>
          </cell>
          <cell r="B641">
            <v>0</v>
          </cell>
          <cell r="C641">
            <v>-1</v>
          </cell>
          <cell r="D641">
            <v>-1</v>
          </cell>
        </row>
        <row r="642">
          <cell r="A642" t="str">
            <v>EGD-0641</v>
          </cell>
          <cell r="B642">
            <v>0</v>
          </cell>
          <cell r="C642">
            <v>-1</v>
          </cell>
          <cell r="D642">
            <v>4</v>
          </cell>
        </row>
        <row r="643">
          <cell r="A643" t="str">
            <v>EGD-0642</v>
          </cell>
          <cell r="B643">
            <v>-1</v>
          </cell>
          <cell r="C643">
            <v>-1</v>
          </cell>
          <cell r="D643">
            <v>3</v>
          </cell>
        </row>
        <row r="644">
          <cell r="A644" t="str">
            <v>EGD-0643</v>
          </cell>
          <cell r="B644">
            <v>0</v>
          </cell>
          <cell r="C644">
            <v>-1</v>
          </cell>
          <cell r="D644">
            <v>4</v>
          </cell>
        </row>
        <row r="645">
          <cell r="A645" t="str">
            <v>EGD-0644</v>
          </cell>
          <cell r="B645">
            <v>-1</v>
          </cell>
          <cell r="C645">
            <v>0</v>
          </cell>
          <cell r="D645">
            <v>3</v>
          </cell>
        </row>
        <row r="646">
          <cell r="A646" t="str">
            <v>EGD-0645</v>
          </cell>
          <cell r="B646">
            <v>0</v>
          </cell>
          <cell r="C646">
            <v>-1</v>
          </cell>
          <cell r="D646">
            <v>-1</v>
          </cell>
        </row>
        <row r="647">
          <cell r="A647" t="str">
            <v>EGD-0646</v>
          </cell>
          <cell r="B647">
            <v>-1</v>
          </cell>
          <cell r="C647">
            <v>-1</v>
          </cell>
          <cell r="D647">
            <v>4</v>
          </cell>
        </row>
        <row r="648">
          <cell r="A648" t="str">
            <v>EGD-0647</v>
          </cell>
          <cell r="B648">
            <v>1</v>
          </cell>
          <cell r="C648">
            <v>0</v>
          </cell>
          <cell r="D648">
            <v>2</v>
          </cell>
        </row>
        <row r="649">
          <cell r="A649" t="str">
            <v>EGD-0648</v>
          </cell>
          <cell r="B649">
            <v>0</v>
          </cell>
          <cell r="C649">
            <v>-1</v>
          </cell>
          <cell r="D649">
            <v>4</v>
          </cell>
        </row>
        <row r="650">
          <cell r="A650" t="str">
            <v>EGD-0649</v>
          </cell>
          <cell r="B650">
            <v>-1</v>
          </cell>
          <cell r="C650">
            <v>-1</v>
          </cell>
          <cell r="D650">
            <v>4</v>
          </cell>
        </row>
        <row r="651">
          <cell r="A651" t="str">
            <v>EGD-0650</v>
          </cell>
          <cell r="B651">
            <v>-1</v>
          </cell>
          <cell r="C651">
            <v>-1</v>
          </cell>
          <cell r="D651">
            <v>3</v>
          </cell>
        </row>
        <row r="652">
          <cell r="A652" t="str">
            <v>EGD-0651</v>
          </cell>
          <cell r="B652">
            <v>-1</v>
          </cell>
          <cell r="C652">
            <v>-1</v>
          </cell>
          <cell r="D652">
            <v>4</v>
          </cell>
        </row>
        <row r="653">
          <cell r="A653" t="str">
            <v>EGD-0652</v>
          </cell>
          <cell r="B653">
            <v>-1</v>
          </cell>
          <cell r="C653">
            <v>-1</v>
          </cell>
          <cell r="D653">
            <v>4</v>
          </cell>
        </row>
        <row r="654">
          <cell r="A654" t="str">
            <v>EGD-0653</v>
          </cell>
          <cell r="B654">
            <v>-1</v>
          </cell>
          <cell r="C654">
            <v>-1</v>
          </cell>
          <cell r="D654">
            <v>4</v>
          </cell>
        </row>
        <row r="655">
          <cell r="A655" t="str">
            <v>EGD-0654</v>
          </cell>
          <cell r="B655">
            <v>-1</v>
          </cell>
          <cell r="C655">
            <v>-1</v>
          </cell>
          <cell r="D655">
            <v>4</v>
          </cell>
        </row>
        <row r="656">
          <cell r="A656" t="str">
            <v>EGD-0655</v>
          </cell>
          <cell r="B656">
            <v>1</v>
          </cell>
          <cell r="C656">
            <v>0</v>
          </cell>
          <cell r="D656">
            <v>2</v>
          </cell>
        </row>
        <row r="657">
          <cell r="A657" t="str">
            <v>EGD-0656</v>
          </cell>
          <cell r="B657">
            <v>1</v>
          </cell>
          <cell r="C657">
            <v>1</v>
          </cell>
          <cell r="D657">
            <v>2</v>
          </cell>
        </row>
        <row r="658">
          <cell r="A658" t="str">
            <v>EGD-0657</v>
          </cell>
          <cell r="B658">
            <v>0</v>
          </cell>
          <cell r="C658">
            <v>-1</v>
          </cell>
          <cell r="D658">
            <v>4</v>
          </cell>
        </row>
        <row r="659">
          <cell r="A659" t="str">
            <v>EGD-0658</v>
          </cell>
          <cell r="B659">
            <v>0</v>
          </cell>
          <cell r="C659">
            <v>0</v>
          </cell>
          <cell r="D659">
            <v>4</v>
          </cell>
        </row>
        <row r="660">
          <cell r="A660" t="str">
            <v>EGD-0659</v>
          </cell>
          <cell r="B660">
            <v>0</v>
          </cell>
          <cell r="C660">
            <v>-1</v>
          </cell>
          <cell r="D660">
            <v>4</v>
          </cell>
        </row>
        <row r="661">
          <cell r="A661" t="str">
            <v>EGD-0660</v>
          </cell>
          <cell r="B661">
            <v>-1</v>
          </cell>
          <cell r="C661">
            <v>-1</v>
          </cell>
          <cell r="D661">
            <v>3</v>
          </cell>
        </row>
        <row r="662">
          <cell r="A662" t="str">
            <v>EGD-0661</v>
          </cell>
          <cell r="B662">
            <v>0</v>
          </cell>
          <cell r="C662">
            <v>0</v>
          </cell>
          <cell r="D662">
            <v>2</v>
          </cell>
        </row>
        <row r="663">
          <cell r="A663" t="str">
            <v>EGD-0662</v>
          </cell>
          <cell r="B663">
            <v>1</v>
          </cell>
          <cell r="C663">
            <v>0</v>
          </cell>
          <cell r="D663">
            <v>-1</v>
          </cell>
        </row>
        <row r="664">
          <cell r="A664" t="str">
            <v>EGD-0663</v>
          </cell>
          <cell r="B664">
            <v>0</v>
          </cell>
          <cell r="C664">
            <v>-1</v>
          </cell>
          <cell r="D664">
            <v>-1</v>
          </cell>
        </row>
        <row r="665">
          <cell r="A665" t="str">
            <v>EGD-0664</v>
          </cell>
          <cell r="B665">
            <v>0</v>
          </cell>
          <cell r="C665">
            <v>0</v>
          </cell>
          <cell r="D665">
            <v>4</v>
          </cell>
        </row>
        <row r="666">
          <cell r="A666" t="str">
            <v>EGD-0665</v>
          </cell>
          <cell r="B666">
            <v>0</v>
          </cell>
          <cell r="C666">
            <v>-1</v>
          </cell>
          <cell r="D666">
            <v>4</v>
          </cell>
        </row>
        <row r="667">
          <cell r="A667" t="str">
            <v>EGD-0666</v>
          </cell>
          <cell r="B667">
            <v>-1</v>
          </cell>
          <cell r="C667">
            <v>-1</v>
          </cell>
          <cell r="D667">
            <v>4</v>
          </cell>
        </row>
        <row r="668">
          <cell r="A668" t="str">
            <v>EGD-0667</v>
          </cell>
          <cell r="B668">
            <v>0</v>
          </cell>
          <cell r="C668">
            <v>-1</v>
          </cell>
          <cell r="D668">
            <v>4</v>
          </cell>
        </row>
        <row r="669">
          <cell r="A669" t="str">
            <v>EGD-0668</v>
          </cell>
          <cell r="B669">
            <v>1</v>
          </cell>
          <cell r="C669">
            <v>1</v>
          </cell>
          <cell r="D669">
            <v>2</v>
          </cell>
        </row>
        <row r="670">
          <cell r="A670" t="str">
            <v>EGD-0669</v>
          </cell>
          <cell r="B670">
            <v>0</v>
          </cell>
          <cell r="C670">
            <v>0</v>
          </cell>
          <cell r="D670">
            <v>4</v>
          </cell>
        </row>
        <row r="671">
          <cell r="A671" t="str">
            <v>EGD-0670</v>
          </cell>
          <cell r="B671">
            <v>-1</v>
          </cell>
          <cell r="C671">
            <v>-1</v>
          </cell>
          <cell r="D671">
            <v>4</v>
          </cell>
        </row>
        <row r="672">
          <cell r="A672" t="str">
            <v>EGD-0671</v>
          </cell>
          <cell r="B672">
            <v>0</v>
          </cell>
          <cell r="C672">
            <v>-1</v>
          </cell>
          <cell r="D672">
            <v>4</v>
          </cell>
        </row>
        <row r="673">
          <cell r="A673" t="str">
            <v>EGD-0672</v>
          </cell>
          <cell r="B673">
            <v>0</v>
          </cell>
          <cell r="C673">
            <v>-1</v>
          </cell>
          <cell r="D673">
            <v>4</v>
          </cell>
        </row>
        <row r="674">
          <cell r="A674" t="str">
            <v>EGD-0673</v>
          </cell>
          <cell r="B674">
            <v>-1</v>
          </cell>
          <cell r="C674">
            <v>-1</v>
          </cell>
          <cell r="D674">
            <v>4</v>
          </cell>
        </row>
        <row r="675">
          <cell r="A675" t="str">
            <v>EGD-0674</v>
          </cell>
          <cell r="B675">
            <v>-1</v>
          </cell>
          <cell r="C675">
            <v>-1</v>
          </cell>
          <cell r="D675">
            <v>4</v>
          </cell>
        </row>
        <row r="676">
          <cell r="A676" t="str">
            <v>EGD-0675</v>
          </cell>
          <cell r="B676">
            <v>0</v>
          </cell>
          <cell r="C676">
            <v>0</v>
          </cell>
          <cell r="D676">
            <v>2</v>
          </cell>
        </row>
        <row r="677">
          <cell r="A677" t="str">
            <v>EGD-0676</v>
          </cell>
          <cell r="B677">
            <v>0</v>
          </cell>
          <cell r="C677">
            <v>-1</v>
          </cell>
          <cell r="D677">
            <v>4</v>
          </cell>
        </row>
        <row r="678">
          <cell r="A678" t="str">
            <v>EGD-0677</v>
          </cell>
          <cell r="B678">
            <v>0</v>
          </cell>
          <cell r="C678">
            <v>-1</v>
          </cell>
          <cell r="D678">
            <v>4</v>
          </cell>
        </row>
        <row r="679">
          <cell r="A679" t="str">
            <v>EGD-0678</v>
          </cell>
          <cell r="B679">
            <v>-1</v>
          </cell>
          <cell r="C679">
            <v>-1</v>
          </cell>
          <cell r="D679">
            <v>4</v>
          </cell>
        </row>
        <row r="680">
          <cell r="A680" t="str">
            <v>EGD-0679</v>
          </cell>
          <cell r="B680">
            <v>-1</v>
          </cell>
          <cell r="C680">
            <v>-1</v>
          </cell>
          <cell r="D680">
            <v>4</v>
          </cell>
        </row>
        <row r="681">
          <cell r="A681" t="str">
            <v>EGD-0680</v>
          </cell>
          <cell r="B681">
            <v>-1</v>
          </cell>
          <cell r="C681">
            <v>-1</v>
          </cell>
          <cell r="D681">
            <v>4</v>
          </cell>
        </row>
        <row r="682">
          <cell r="A682" t="str">
            <v>EGD-0681</v>
          </cell>
          <cell r="B682">
            <v>0</v>
          </cell>
          <cell r="C682">
            <v>-1</v>
          </cell>
          <cell r="D682">
            <v>-1</v>
          </cell>
        </row>
        <row r="683">
          <cell r="A683" t="str">
            <v>EGD-0682</v>
          </cell>
          <cell r="B683">
            <v>-1</v>
          </cell>
          <cell r="C683">
            <v>-1</v>
          </cell>
          <cell r="D683">
            <v>4</v>
          </cell>
        </row>
        <row r="684">
          <cell r="A684" t="str">
            <v>EGD-0683</v>
          </cell>
          <cell r="B684">
            <v>-1</v>
          </cell>
          <cell r="C684">
            <v>0</v>
          </cell>
          <cell r="D684">
            <v>3</v>
          </cell>
        </row>
        <row r="685">
          <cell r="A685" t="str">
            <v>EGD-0684</v>
          </cell>
          <cell r="B685">
            <v>-1</v>
          </cell>
          <cell r="C685">
            <v>-1</v>
          </cell>
          <cell r="D685">
            <v>4</v>
          </cell>
        </row>
        <row r="686">
          <cell r="A686" t="str">
            <v>EGD-0685</v>
          </cell>
          <cell r="B686">
            <v>-1</v>
          </cell>
          <cell r="C686">
            <v>-1</v>
          </cell>
          <cell r="D686">
            <v>4</v>
          </cell>
        </row>
        <row r="687">
          <cell r="A687" t="str">
            <v>EGD-0686</v>
          </cell>
          <cell r="B687">
            <v>-1</v>
          </cell>
          <cell r="C687">
            <v>-1</v>
          </cell>
          <cell r="D687">
            <v>4</v>
          </cell>
        </row>
        <row r="688">
          <cell r="A688" t="str">
            <v>EGD-0687</v>
          </cell>
          <cell r="B688">
            <v>0</v>
          </cell>
          <cell r="C688">
            <v>-1</v>
          </cell>
          <cell r="D688">
            <v>4</v>
          </cell>
        </row>
        <row r="689">
          <cell r="A689" t="str">
            <v>EGD-0688</v>
          </cell>
          <cell r="B689">
            <v>1</v>
          </cell>
          <cell r="C689">
            <v>0</v>
          </cell>
          <cell r="D689">
            <v>2</v>
          </cell>
        </row>
        <row r="690">
          <cell r="A690" t="str">
            <v>EGD-0689</v>
          </cell>
          <cell r="B690">
            <v>1</v>
          </cell>
          <cell r="C690">
            <v>1</v>
          </cell>
          <cell r="D690">
            <v>2</v>
          </cell>
        </row>
        <row r="691">
          <cell r="A691" t="str">
            <v>EGD-0690</v>
          </cell>
          <cell r="B691">
            <v>-1</v>
          </cell>
          <cell r="C691">
            <v>-1</v>
          </cell>
          <cell r="D691">
            <v>4</v>
          </cell>
        </row>
        <row r="692">
          <cell r="A692" t="str">
            <v>EGD-0691</v>
          </cell>
          <cell r="B692">
            <v>0</v>
          </cell>
          <cell r="C692">
            <v>-1</v>
          </cell>
          <cell r="D692">
            <v>4</v>
          </cell>
        </row>
        <row r="693">
          <cell r="A693" t="str">
            <v>EGD-0692</v>
          </cell>
          <cell r="B693">
            <v>0</v>
          </cell>
          <cell r="C693">
            <v>0</v>
          </cell>
          <cell r="D693">
            <v>4</v>
          </cell>
        </row>
        <row r="694">
          <cell r="A694" t="str">
            <v>EGD-0693</v>
          </cell>
          <cell r="B694">
            <v>0</v>
          </cell>
          <cell r="C694">
            <v>-1</v>
          </cell>
          <cell r="D694">
            <v>4</v>
          </cell>
        </row>
        <row r="695">
          <cell r="A695" t="str">
            <v>EGD-0694</v>
          </cell>
          <cell r="B695">
            <v>0</v>
          </cell>
          <cell r="C695">
            <v>-1</v>
          </cell>
          <cell r="D695">
            <v>4</v>
          </cell>
        </row>
        <row r="696">
          <cell r="A696" t="str">
            <v>EGD-0695</v>
          </cell>
          <cell r="B696">
            <v>-1</v>
          </cell>
          <cell r="C696">
            <v>-1</v>
          </cell>
          <cell r="D696">
            <v>4</v>
          </cell>
        </row>
        <row r="697">
          <cell r="A697" t="str">
            <v>EGD-0696</v>
          </cell>
          <cell r="B697">
            <v>-1</v>
          </cell>
          <cell r="C697">
            <v>-1</v>
          </cell>
          <cell r="D697">
            <v>2</v>
          </cell>
        </row>
        <row r="698">
          <cell r="A698" t="str">
            <v>EGD-0697</v>
          </cell>
          <cell r="B698">
            <v>0</v>
          </cell>
          <cell r="C698">
            <v>-1</v>
          </cell>
          <cell r="D698">
            <v>-1</v>
          </cell>
        </row>
        <row r="699">
          <cell r="A699" t="str">
            <v>EGD-0698</v>
          </cell>
          <cell r="B699">
            <v>0</v>
          </cell>
          <cell r="C699">
            <v>-1</v>
          </cell>
          <cell r="D699">
            <v>4</v>
          </cell>
        </row>
        <row r="700">
          <cell r="A700" t="str">
            <v>EGD-0699</v>
          </cell>
          <cell r="B700">
            <v>0</v>
          </cell>
          <cell r="C700">
            <v>-1</v>
          </cell>
          <cell r="D700">
            <v>-1</v>
          </cell>
        </row>
        <row r="701">
          <cell r="A701" t="str">
            <v>EGD-0700</v>
          </cell>
          <cell r="B701">
            <v>1</v>
          </cell>
          <cell r="C701">
            <v>1</v>
          </cell>
          <cell r="D701">
            <v>2</v>
          </cell>
        </row>
        <row r="702">
          <cell r="A702" t="str">
            <v>EGD-0701</v>
          </cell>
          <cell r="B702">
            <v>-1</v>
          </cell>
          <cell r="C702">
            <v>-1</v>
          </cell>
          <cell r="D702">
            <v>3</v>
          </cell>
        </row>
        <row r="703">
          <cell r="A703" t="str">
            <v>EGD-0702</v>
          </cell>
          <cell r="B703">
            <v>0</v>
          </cell>
          <cell r="C703">
            <v>-1</v>
          </cell>
          <cell r="D703">
            <v>4</v>
          </cell>
        </row>
        <row r="704">
          <cell r="A704" t="str">
            <v>EGD-0703</v>
          </cell>
          <cell r="B704">
            <v>0</v>
          </cell>
          <cell r="C704">
            <v>-1</v>
          </cell>
          <cell r="D704">
            <v>4</v>
          </cell>
        </row>
        <row r="705">
          <cell r="A705" t="str">
            <v>EGD-0704</v>
          </cell>
          <cell r="B705">
            <v>-1</v>
          </cell>
          <cell r="C705">
            <v>-1</v>
          </cell>
          <cell r="D705">
            <v>4</v>
          </cell>
        </row>
        <row r="706">
          <cell r="A706" t="str">
            <v>EGD-0705</v>
          </cell>
          <cell r="B706">
            <v>1</v>
          </cell>
          <cell r="C706">
            <v>0</v>
          </cell>
          <cell r="D706">
            <v>2</v>
          </cell>
        </row>
        <row r="707">
          <cell r="A707" t="str">
            <v>EGD-0706</v>
          </cell>
          <cell r="B707">
            <v>0</v>
          </cell>
          <cell r="C707">
            <v>0</v>
          </cell>
          <cell r="D707">
            <v>2</v>
          </cell>
        </row>
        <row r="708">
          <cell r="A708" t="str">
            <v>EGD-0707</v>
          </cell>
          <cell r="B708">
            <v>0</v>
          </cell>
          <cell r="C708">
            <v>-1</v>
          </cell>
          <cell r="D708">
            <v>-1</v>
          </cell>
        </row>
        <row r="709">
          <cell r="A709" t="str">
            <v>EGD-0708</v>
          </cell>
          <cell r="B709">
            <v>-1</v>
          </cell>
          <cell r="C709">
            <v>-1</v>
          </cell>
          <cell r="D709">
            <v>4</v>
          </cell>
        </row>
        <row r="710">
          <cell r="A710" t="str">
            <v>EGD-0709</v>
          </cell>
          <cell r="B710">
            <v>0</v>
          </cell>
          <cell r="C710">
            <v>0</v>
          </cell>
          <cell r="D710">
            <v>4</v>
          </cell>
        </row>
        <row r="711">
          <cell r="A711" t="str">
            <v>EGD-0710</v>
          </cell>
          <cell r="B711">
            <v>0</v>
          </cell>
          <cell r="C711">
            <v>0</v>
          </cell>
          <cell r="D711">
            <v>4</v>
          </cell>
        </row>
        <row r="712">
          <cell r="A712" t="str">
            <v>EGD-0711</v>
          </cell>
          <cell r="B712">
            <v>-1</v>
          </cell>
          <cell r="C712">
            <v>-1</v>
          </cell>
          <cell r="D712">
            <v>4</v>
          </cell>
        </row>
        <row r="713">
          <cell r="A713" t="str">
            <v>EGD-0712</v>
          </cell>
          <cell r="B713">
            <v>-1</v>
          </cell>
          <cell r="C713">
            <v>0</v>
          </cell>
          <cell r="D713">
            <v>3</v>
          </cell>
        </row>
        <row r="714">
          <cell r="A714" t="str">
            <v>EGD-0713</v>
          </cell>
          <cell r="B714">
            <v>-1</v>
          </cell>
          <cell r="C714">
            <v>-1</v>
          </cell>
          <cell r="D714">
            <v>4</v>
          </cell>
        </row>
        <row r="715">
          <cell r="A715" t="str">
            <v>EGD-0714</v>
          </cell>
          <cell r="B715">
            <v>-1</v>
          </cell>
          <cell r="C715">
            <v>-1</v>
          </cell>
          <cell r="D715">
            <v>4</v>
          </cell>
        </row>
        <row r="716">
          <cell r="A716" t="str">
            <v>EGD-0715</v>
          </cell>
          <cell r="B716">
            <v>0</v>
          </cell>
          <cell r="C716">
            <v>-1</v>
          </cell>
          <cell r="D716">
            <v>4</v>
          </cell>
        </row>
        <row r="717">
          <cell r="A717" t="str">
            <v>EGD-0716</v>
          </cell>
          <cell r="B717">
            <v>-1</v>
          </cell>
          <cell r="C717">
            <v>-1</v>
          </cell>
          <cell r="D717">
            <v>4</v>
          </cell>
        </row>
        <row r="718">
          <cell r="A718" t="str">
            <v>EGD-0717</v>
          </cell>
          <cell r="B718">
            <v>-1</v>
          </cell>
          <cell r="C718">
            <v>-1</v>
          </cell>
          <cell r="D718">
            <v>4</v>
          </cell>
        </row>
        <row r="719">
          <cell r="A719" t="str">
            <v>EGD-0718</v>
          </cell>
          <cell r="B719">
            <v>-1</v>
          </cell>
          <cell r="C719">
            <v>-1</v>
          </cell>
          <cell r="D719">
            <v>3</v>
          </cell>
        </row>
        <row r="720">
          <cell r="A720" t="str">
            <v>EGD-0719</v>
          </cell>
          <cell r="B720">
            <v>-1</v>
          </cell>
          <cell r="C720">
            <v>-1</v>
          </cell>
          <cell r="D720">
            <v>4</v>
          </cell>
        </row>
        <row r="721">
          <cell r="A721" t="str">
            <v>EGD-0720</v>
          </cell>
          <cell r="B721">
            <v>1</v>
          </cell>
          <cell r="C721">
            <v>0</v>
          </cell>
          <cell r="D721">
            <v>2</v>
          </cell>
        </row>
        <row r="722">
          <cell r="A722" t="str">
            <v>EGD-0721</v>
          </cell>
          <cell r="B722">
            <v>-1</v>
          </cell>
          <cell r="C722">
            <v>-1</v>
          </cell>
          <cell r="D722">
            <v>4</v>
          </cell>
        </row>
        <row r="723">
          <cell r="A723" t="str">
            <v>EGD-0722</v>
          </cell>
          <cell r="B723">
            <v>-1</v>
          </cell>
          <cell r="C723">
            <v>-1</v>
          </cell>
          <cell r="D723">
            <v>4</v>
          </cell>
        </row>
        <row r="724">
          <cell r="A724" t="str">
            <v>EGD-0723</v>
          </cell>
          <cell r="B724">
            <v>0</v>
          </cell>
          <cell r="C724">
            <v>-1</v>
          </cell>
          <cell r="D724">
            <v>4</v>
          </cell>
        </row>
        <row r="725">
          <cell r="A725" t="str">
            <v>EGD-0724</v>
          </cell>
          <cell r="B725">
            <v>-1</v>
          </cell>
          <cell r="C725">
            <v>-1</v>
          </cell>
          <cell r="D725">
            <v>4</v>
          </cell>
        </row>
        <row r="726">
          <cell r="A726" t="str">
            <v>EGD-0725</v>
          </cell>
          <cell r="B726">
            <v>0</v>
          </cell>
          <cell r="C726">
            <v>0</v>
          </cell>
          <cell r="D726">
            <v>3</v>
          </cell>
        </row>
        <row r="727">
          <cell r="A727" t="str">
            <v>EGD-0726</v>
          </cell>
          <cell r="B727">
            <v>-1</v>
          </cell>
          <cell r="C727">
            <v>-1</v>
          </cell>
          <cell r="D727">
            <v>4</v>
          </cell>
        </row>
        <row r="728">
          <cell r="A728" t="str">
            <v>EGD-0727</v>
          </cell>
          <cell r="B728">
            <v>-1</v>
          </cell>
          <cell r="C728">
            <v>-1</v>
          </cell>
          <cell r="D728">
            <v>4</v>
          </cell>
        </row>
        <row r="729">
          <cell r="A729" t="str">
            <v>EGD-0728</v>
          </cell>
          <cell r="B729">
            <v>0</v>
          </cell>
          <cell r="C729">
            <v>0</v>
          </cell>
          <cell r="D729">
            <v>4</v>
          </cell>
        </row>
        <row r="730">
          <cell r="A730" t="str">
            <v>EGD-0729</v>
          </cell>
          <cell r="B730">
            <v>1</v>
          </cell>
          <cell r="C730">
            <v>-1</v>
          </cell>
          <cell r="D730">
            <v>4</v>
          </cell>
        </row>
        <row r="731">
          <cell r="A731" t="str">
            <v>EGD-0730</v>
          </cell>
          <cell r="B731">
            <v>1</v>
          </cell>
          <cell r="C731">
            <v>1</v>
          </cell>
          <cell r="D731">
            <v>2</v>
          </cell>
        </row>
        <row r="732">
          <cell r="A732" t="str">
            <v>EGD-0731</v>
          </cell>
          <cell r="B732">
            <v>-1</v>
          </cell>
          <cell r="C732">
            <v>-1</v>
          </cell>
          <cell r="D732">
            <v>-1</v>
          </cell>
        </row>
        <row r="733">
          <cell r="A733" t="str">
            <v>EGD-0732</v>
          </cell>
          <cell r="B733">
            <v>-1</v>
          </cell>
          <cell r="C733">
            <v>-1</v>
          </cell>
          <cell r="D733">
            <v>4</v>
          </cell>
        </row>
        <row r="734">
          <cell r="A734" t="str">
            <v>EGD-0733</v>
          </cell>
          <cell r="B734">
            <v>-1</v>
          </cell>
          <cell r="C734">
            <v>-1</v>
          </cell>
          <cell r="D734">
            <v>3</v>
          </cell>
        </row>
        <row r="735">
          <cell r="A735" t="str">
            <v>EGD-0734</v>
          </cell>
          <cell r="B735">
            <v>0</v>
          </cell>
          <cell r="C735">
            <v>0</v>
          </cell>
          <cell r="D735">
            <v>2</v>
          </cell>
        </row>
        <row r="736">
          <cell r="A736" t="str">
            <v>EGD-0735</v>
          </cell>
          <cell r="B736">
            <v>0</v>
          </cell>
          <cell r="C736">
            <v>-1</v>
          </cell>
          <cell r="D736">
            <v>-1</v>
          </cell>
        </row>
        <row r="737">
          <cell r="A737" t="str">
            <v>EGD-0736</v>
          </cell>
          <cell r="B737">
            <v>0</v>
          </cell>
          <cell r="C737">
            <v>0</v>
          </cell>
          <cell r="D737">
            <v>4</v>
          </cell>
        </row>
        <row r="738">
          <cell r="A738" t="str">
            <v>EGD-0737</v>
          </cell>
          <cell r="B738">
            <v>1</v>
          </cell>
          <cell r="C738">
            <v>0</v>
          </cell>
          <cell r="D738">
            <v>2</v>
          </cell>
        </row>
        <row r="739">
          <cell r="A739" t="str">
            <v>EGD-0738</v>
          </cell>
          <cell r="B739">
            <v>0</v>
          </cell>
          <cell r="C739">
            <v>-1</v>
          </cell>
          <cell r="D739">
            <v>4</v>
          </cell>
        </row>
        <row r="740">
          <cell r="A740" t="str">
            <v>EGD-0739</v>
          </cell>
          <cell r="B740">
            <v>1</v>
          </cell>
          <cell r="C740">
            <v>1</v>
          </cell>
          <cell r="D740">
            <v>2</v>
          </cell>
        </row>
        <row r="741">
          <cell r="A741" t="str">
            <v>EGD-0740</v>
          </cell>
          <cell r="B741">
            <v>-1</v>
          </cell>
          <cell r="C741">
            <v>-1</v>
          </cell>
          <cell r="D741">
            <v>4</v>
          </cell>
        </row>
        <row r="742">
          <cell r="A742" t="str">
            <v>EGD-0741</v>
          </cell>
          <cell r="B742">
            <v>0</v>
          </cell>
          <cell r="C742">
            <v>-1</v>
          </cell>
          <cell r="D742">
            <v>-1</v>
          </cell>
        </row>
        <row r="743">
          <cell r="A743" t="str">
            <v>EGD-0742</v>
          </cell>
          <cell r="B743">
            <v>0</v>
          </cell>
          <cell r="C743">
            <v>-1</v>
          </cell>
          <cell r="D743">
            <v>4</v>
          </cell>
        </row>
        <row r="744">
          <cell r="A744" t="str">
            <v>EGD-0743</v>
          </cell>
          <cell r="B744">
            <v>-1</v>
          </cell>
          <cell r="C744">
            <v>-1</v>
          </cell>
          <cell r="D744">
            <v>4</v>
          </cell>
        </row>
        <row r="745">
          <cell r="A745" t="str">
            <v>EGD-0744</v>
          </cell>
          <cell r="B745">
            <v>1</v>
          </cell>
          <cell r="C745">
            <v>0</v>
          </cell>
          <cell r="D745">
            <v>2</v>
          </cell>
        </row>
        <row r="746">
          <cell r="A746" t="str">
            <v>EGD-0745</v>
          </cell>
          <cell r="B746">
            <v>0</v>
          </cell>
          <cell r="C746">
            <v>-1</v>
          </cell>
          <cell r="D746">
            <v>4</v>
          </cell>
        </row>
        <row r="747">
          <cell r="A747" t="str">
            <v>EGD-0746</v>
          </cell>
          <cell r="B747">
            <v>-1</v>
          </cell>
          <cell r="C747">
            <v>-1</v>
          </cell>
          <cell r="D747">
            <v>4</v>
          </cell>
        </row>
        <row r="748">
          <cell r="A748" t="str">
            <v>EGD-0747</v>
          </cell>
          <cell r="B748">
            <v>0</v>
          </cell>
          <cell r="C748">
            <v>-1</v>
          </cell>
          <cell r="D748">
            <v>4</v>
          </cell>
        </row>
        <row r="749">
          <cell r="A749" t="str">
            <v>EGD-0748</v>
          </cell>
          <cell r="B749">
            <v>-1</v>
          </cell>
          <cell r="C749">
            <v>-1</v>
          </cell>
          <cell r="D749">
            <v>4</v>
          </cell>
        </row>
        <row r="750">
          <cell r="A750" t="str">
            <v>EGD-0749</v>
          </cell>
          <cell r="B750">
            <v>-1</v>
          </cell>
          <cell r="C750">
            <v>-1</v>
          </cell>
          <cell r="D750">
            <v>4</v>
          </cell>
        </row>
        <row r="751">
          <cell r="A751" t="str">
            <v>EGD-0750</v>
          </cell>
          <cell r="B751">
            <v>-1</v>
          </cell>
          <cell r="C751">
            <v>-1</v>
          </cell>
          <cell r="D751">
            <v>4</v>
          </cell>
        </row>
        <row r="752">
          <cell r="A752" t="str">
            <v>EGD-0751</v>
          </cell>
          <cell r="B752">
            <v>-1</v>
          </cell>
          <cell r="C752">
            <v>-1</v>
          </cell>
          <cell r="D752">
            <v>4</v>
          </cell>
        </row>
        <row r="753">
          <cell r="A753" t="str">
            <v>EGD-0752</v>
          </cell>
          <cell r="B753">
            <v>-1</v>
          </cell>
          <cell r="C753">
            <v>-1</v>
          </cell>
          <cell r="D753">
            <v>4</v>
          </cell>
        </row>
        <row r="754">
          <cell r="A754" t="str">
            <v>EGD-0753</v>
          </cell>
          <cell r="B754">
            <v>0</v>
          </cell>
          <cell r="C754">
            <v>0</v>
          </cell>
          <cell r="D754">
            <v>4</v>
          </cell>
        </row>
        <row r="755">
          <cell r="A755" t="str">
            <v>EGD-0754</v>
          </cell>
          <cell r="B755">
            <v>0</v>
          </cell>
          <cell r="C755">
            <v>-1</v>
          </cell>
          <cell r="D755">
            <v>4</v>
          </cell>
        </row>
        <row r="756">
          <cell r="A756" t="str">
            <v>EGD-0755</v>
          </cell>
          <cell r="B756">
            <v>-1</v>
          </cell>
          <cell r="C756">
            <v>-1</v>
          </cell>
          <cell r="D756">
            <v>4</v>
          </cell>
        </row>
        <row r="757">
          <cell r="A757" t="str">
            <v>EGD-0756</v>
          </cell>
          <cell r="B757">
            <v>-1</v>
          </cell>
          <cell r="C757">
            <v>-1</v>
          </cell>
          <cell r="D757">
            <v>4</v>
          </cell>
        </row>
        <row r="758">
          <cell r="A758" t="str">
            <v>EGD-0757</v>
          </cell>
          <cell r="B758">
            <v>1</v>
          </cell>
          <cell r="C758">
            <v>0</v>
          </cell>
          <cell r="D758">
            <v>3</v>
          </cell>
        </row>
        <row r="759">
          <cell r="A759" t="str">
            <v>EGD-0758</v>
          </cell>
          <cell r="B759">
            <v>1</v>
          </cell>
          <cell r="C759">
            <v>0</v>
          </cell>
          <cell r="D759">
            <v>2</v>
          </cell>
        </row>
        <row r="760">
          <cell r="A760" t="str">
            <v>EGD-0759</v>
          </cell>
          <cell r="B760">
            <v>0</v>
          </cell>
          <cell r="C760">
            <v>-1</v>
          </cell>
          <cell r="D760">
            <v>4</v>
          </cell>
        </row>
        <row r="761">
          <cell r="A761" t="str">
            <v>EGD-0760</v>
          </cell>
          <cell r="B761">
            <v>0</v>
          </cell>
          <cell r="C761">
            <v>-1</v>
          </cell>
          <cell r="D761">
            <v>-1</v>
          </cell>
        </row>
        <row r="762">
          <cell r="A762" t="str">
            <v>EGD-0761</v>
          </cell>
          <cell r="B762">
            <v>-1</v>
          </cell>
          <cell r="C762">
            <v>-1</v>
          </cell>
          <cell r="D762">
            <v>4</v>
          </cell>
        </row>
        <row r="763">
          <cell r="A763" t="str">
            <v>EGD-0762</v>
          </cell>
          <cell r="B763">
            <v>0</v>
          </cell>
          <cell r="C763">
            <v>0</v>
          </cell>
          <cell r="D763">
            <v>4</v>
          </cell>
        </row>
        <row r="764">
          <cell r="A764" t="str">
            <v>EGD-0763</v>
          </cell>
          <cell r="B764">
            <v>0</v>
          </cell>
          <cell r="C764">
            <v>-1</v>
          </cell>
          <cell r="D764">
            <v>4</v>
          </cell>
        </row>
        <row r="765">
          <cell r="A765" t="str">
            <v>EGD-0764</v>
          </cell>
          <cell r="B765">
            <v>0</v>
          </cell>
          <cell r="C765">
            <v>0</v>
          </cell>
          <cell r="D765">
            <v>4</v>
          </cell>
        </row>
        <row r="766">
          <cell r="A766" t="str">
            <v>EGD-0765</v>
          </cell>
          <cell r="B766">
            <v>0</v>
          </cell>
          <cell r="C766">
            <v>-1</v>
          </cell>
          <cell r="D766">
            <v>4</v>
          </cell>
        </row>
        <row r="767">
          <cell r="A767" t="str">
            <v>EGD-0766</v>
          </cell>
          <cell r="B767">
            <v>0</v>
          </cell>
          <cell r="C767">
            <v>-1</v>
          </cell>
          <cell r="D767">
            <v>-1</v>
          </cell>
        </row>
        <row r="768">
          <cell r="A768" t="str">
            <v>EGD-0767</v>
          </cell>
          <cell r="B768">
            <v>-1</v>
          </cell>
          <cell r="C768">
            <v>-1</v>
          </cell>
          <cell r="D768">
            <v>4</v>
          </cell>
        </row>
        <row r="769">
          <cell r="A769" t="str">
            <v>EGD-0768</v>
          </cell>
          <cell r="B769">
            <v>0</v>
          </cell>
          <cell r="C769">
            <v>-1</v>
          </cell>
          <cell r="D769">
            <v>4</v>
          </cell>
        </row>
        <row r="770">
          <cell r="A770" t="str">
            <v>EGD-0769</v>
          </cell>
          <cell r="B770">
            <v>-1</v>
          </cell>
          <cell r="C770">
            <v>-1</v>
          </cell>
          <cell r="D770">
            <v>3</v>
          </cell>
        </row>
        <row r="771">
          <cell r="A771" t="str">
            <v>EGD-0770</v>
          </cell>
          <cell r="B771">
            <v>-1</v>
          </cell>
          <cell r="C771">
            <v>-1</v>
          </cell>
          <cell r="D771">
            <v>4</v>
          </cell>
        </row>
        <row r="772">
          <cell r="A772" t="str">
            <v>EGD-0771</v>
          </cell>
          <cell r="B772">
            <v>1</v>
          </cell>
          <cell r="C772">
            <v>0</v>
          </cell>
          <cell r="D772">
            <v>3</v>
          </cell>
        </row>
        <row r="773">
          <cell r="A773" t="str">
            <v>EGD-0772</v>
          </cell>
          <cell r="B773">
            <v>0</v>
          </cell>
          <cell r="C773">
            <v>0</v>
          </cell>
          <cell r="D773">
            <v>2</v>
          </cell>
        </row>
        <row r="774">
          <cell r="A774" t="str">
            <v>EGD-0773</v>
          </cell>
          <cell r="B774">
            <v>1</v>
          </cell>
          <cell r="C774">
            <v>0</v>
          </cell>
          <cell r="D774">
            <v>3</v>
          </cell>
        </row>
        <row r="775">
          <cell r="A775" t="str">
            <v>EGD-0774</v>
          </cell>
          <cell r="B775">
            <v>-1</v>
          </cell>
          <cell r="C775">
            <v>-1</v>
          </cell>
          <cell r="D775">
            <v>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Subject</v>
          </cell>
          <cell r="B1" t="str">
            <v>Observer</v>
          </cell>
          <cell r="C1" t="str">
            <v>Original scan</v>
          </cell>
        </row>
        <row r="2">
          <cell r="A2" t="str">
            <v>EGD-0001</v>
          </cell>
          <cell r="B2" t="str">
            <v>OBS1</v>
          </cell>
          <cell r="C2" t="str">
            <v>T2</v>
          </cell>
        </row>
        <row r="3">
          <cell r="A3" t="str">
            <v>EGD-0002</v>
          </cell>
          <cell r="B3" t="str">
            <v>AUTO</v>
          </cell>
          <cell r="C3" t="str">
            <v>ALL</v>
          </cell>
        </row>
        <row r="4">
          <cell r="A4" t="str">
            <v>EGD-0003</v>
          </cell>
          <cell r="B4" t="str">
            <v>AUTO</v>
          </cell>
          <cell r="C4" t="str">
            <v>ALL</v>
          </cell>
        </row>
        <row r="5">
          <cell r="A5" t="str">
            <v>EGD-0004</v>
          </cell>
          <cell r="B5" t="str">
            <v>OBS2</v>
          </cell>
          <cell r="C5" t="str">
            <v>FLAIR</v>
          </cell>
        </row>
        <row r="6">
          <cell r="A6" t="str">
            <v>EGD-0005</v>
          </cell>
          <cell r="B6" t="str">
            <v>AUTO</v>
          </cell>
          <cell r="C6" t="str">
            <v>ALL</v>
          </cell>
        </row>
        <row r="7">
          <cell r="A7" t="str">
            <v>EGD-0006</v>
          </cell>
          <cell r="B7" t="str">
            <v>OBS1</v>
          </cell>
          <cell r="C7" t="str">
            <v>T2</v>
          </cell>
        </row>
        <row r="8">
          <cell r="A8" t="str">
            <v>EGD-0007</v>
          </cell>
          <cell r="B8" t="str">
            <v>AUTO</v>
          </cell>
          <cell r="C8" t="str">
            <v>ALL</v>
          </cell>
        </row>
        <row r="9">
          <cell r="A9" t="str">
            <v>EGD-0008</v>
          </cell>
          <cell r="B9" t="str">
            <v>AUTO</v>
          </cell>
          <cell r="C9" t="str">
            <v>ALL</v>
          </cell>
        </row>
        <row r="10">
          <cell r="A10" t="str">
            <v>EGD-0009</v>
          </cell>
          <cell r="B10" t="str">
            <v>OBS2</v>
          </cell>
          <cell r="C10" t="str">
            <v>FLAIR</v>
          </cell>
        </row>
        <row r="11">
          <cell r="A11" t="str">
            <v>EGD-0010</v>
          </cell>
          <cell r="B11" t="str">
            <v>AUTO</v>
          </cell>
          <cell r="C11" t="str">
            <v>ALL</v>
          </cell>
        </row>
        <row r="12">
          <cell r="A12" t="str">
            <v>EGD-0011</v>
          </cell>
          <cell r="B12" t="str">
            <v>AUTO</v>
          </cell>
          <cell r="C12" t="str">
            <v>ALL</v>
          </cell>
        </row>
        <row r="13">
          <cell r="A13" t="str">
            <v>EGD-0012</v>
          </cell>
          <cell r="B13" t="str">
            <v>AUTO</v>
          </cell>
          <cell r="C13" t="str">
            <v>ALL</v>
          </cell>
        </row>
        <row r="14">
          <cell r="A14" t="str">
            <v>EGD-0013</v>
          </cell>
          <cell r="B14" t="str">
            <v>AUTO</v>
          </cell>
          <cell r="C14" t="str">
            <v>ALL</v>
          </cell>
        </row>
        <row r="15">
          <cell r="A15" t="str">
            <v>EGD-0014</v>
          </cell>
          <cell r="B15" t="str">
            <v>OBS1</v>
          </cell>
          <cell r="C15" t="str">
            <v>T2</v>
          </cell>
        </row>
        <row r="16">
          <cell r="A16" t="str">
            <v>EGD-0015</v>
          </cell>
          <cell r="B16" t="str">
            <v>OBS1</v>
          </cell>
          <cell r="C16" t="str">
            <v>T2</v>
          </cell>
        </row>
        <row r="17">
          <cell r="A17" t="str">
            <v>EGD-0016</v>
          </cell>
          <cell r="B17" t="str">
            <v>AUTO</v>
          </cell>
          <cell r="C17" t="str">
            <v>ALL</v>
          </cell>
        </row>
        <row r="18">
          <cell r="A18" t="str">
            <v>EGD-0017</v>
          </cell>
          <cell r="B18" t="str">
            <v>AUTO</v>
          </cell>
          <cell r="C18" t="str">
            <v>ALL</v>
          </cell>
        </row>
        <row r="19">
          <cell r="A19" t="str">
            <v>EGD-0018</v>
          </cell>
          <cell r="B19" t="str">
            <v>AUTO</v>
          </cell>
          <cell r="C19" t="str">
            <v>ALL</v>
          </cell>
        </row>
        <row r="20">
          <cell r="A20" t="str">
            <v>EGD-0019</v>
          </cell>
          <cell r="B20" t="str">
            <v>AUTO</v>
          </cell>
          <cell r="C20" t="str">
            <v>ALL</v>
          </cell>
        </row>
        <row r="21">
          <cell r="A21" t="str">
            <v>EGD-0020</v>
          </cell>
          <cell r="B21" t="str">
            <v>OBS1</v>
          </cell>
          <cell r="C21" t="str">
            <v>FLAIR</v>
          </cell>
        </row>
        <row r="22">
          <cell r="A22" t="str">
            <v>EGD-0021</v>
          </cell>
          <cell r="B22" t="str">
            <v>AUTO</v>
          </cell>
          <cell r="C22" t="str">
            <v>ALL</v>
          </cell>
        </row>
        <row r="23">
          <cell r="A23" t="str">
            <v>EGD-0022</v>
          </cell>
          <cell r="B23" t="str">
            <v>OBS2</v>
          </cell>
          <cell r="C23" t="str">
            <v>FLAIR</v>
          </cell>
        </row>
        <row r="24">
          <cell r="A24" t="str">
            <v>EGD-0023</v>
          </cell>
          <cell r="B24" t="str">
            <v>AUTO</v>
          </cell>
          <cell r="C24" t="str">
            <v>ALL</v>
          </cell>
        </row>
        <row r="25">
          <cell r="A25" t="str">
            <v>EGD-0024</v>
          </cell>
          <cell r="B25" t="str">
            <v>AUTO</v>
          </cell>
          <cell r="C25" t="str">
            <v>ALL</v>
          </cell>
        </row>
        <row r="26">
          <cell r="A26" t="str">
            <v>EGD-0025</v>
          </cell>
          <cell r="B26" t="str">
            <v>AUTO</v>
          </cell>
          <cell r="C26" t="str">
            <v>ALL</v>
          </cell>
        </row>
        <row r="27">
          <cell r="A27" t="str">
            <v>EGD-0026</v>
          </cell>
          <cell r="B27" t="str">
            <v>OBS1</v>
          </cell>
          <cell r="C27" t="str">
            <v>T2</v>
          </cell>
        </row>
        <row r="28">
          <cell r="A28" t="str">
            <v>EGD-0027</v>
          </cell>
          <cell r="B28" t="str">
            <v>AUTO</v>
          </cell>
          <cell r="C28" t="str">
            <v>ALL</v>
          </cell>
        </row>
        <row r="29">
          <cell r="A29" t="str">
            <v>EGD-0028</v>
          </cell>
          <cell r="B29" t="str">
            <v>OBS1</v>
          </cell>
          <cell r="C29" t="str">
            <v>T2</v>
          </cell>
        </row>
        <row r="30">
          <cell r="A30" t="str">
            <v>EGD-0029</v>
          </cell>
          <cell r="B30" t="str">
            <v>AUTO</v>
          </cell>
          <cell r="C30" t="str">
            <v>ALL</v>
          </cell>
        </row>
        <row r="31">
          <cell r="A31" t="str">
            <v>EGD-0030</v>
          </cell>
          <cell r="B31" t="str">
            <v>AUTO</v>
          </cell>
          <cell r="C31" t="str">
            <v>ALL</v>
          </cell>
        </row>
        <row r="32">
          <cell r="A32" t="str">
            <v>EGD-0031</v>
          </cell>
          <cell r="B32" t="str">
            <v>OBS1</v>
          </cell>
          <cell r="C32" t="str">
            <v>T2</v>
          </cell>
        </row>
        <row r="33">
          <cell r="A33" t="str">
            <v>EGD-0032</v>
          </cell>
          <cell r="B33" t="str">
            <v>AUTO</v>
          </cell>
          <cell r="C33" t="str">
            <v>ALL</v>
          </cell>
        </row>
        <row r="34">
          <cell r="A34" t="str">
            <v>EGD-0033</v>
          </cell>
          <cell r="B34" t="str">
            <v>OBS1</v>
          </cell>
          <cell r="C34" t="str">
            <v>T2</v>
          </cell>
        </row>
        <row r="35">
          <cell r="A35" t="str">
            <v>EGD-0034</v>
          </cell>
          <cell r="B35" t="str">
            <v>AUTO</v>
          </cell>
          <cell r="C35" t="str">
            <v>ALL</v>
          </cell>
        </row>
        <row r="36">
          <cell r="A36" t="str">
            <v>EGD-0035</v>
          </cell>
          <cell r="B36" t="str">
            <v>OBS1</v>
          </cell>
          <cell r="C36" t="str">
            <v>T2</v>
          </cell>
        </row>
        <row r="37">
          <cell r="A37" t="str">
            <v>EGD-0036</v>
          </cell>
          <cell r="B37" t="str">
            <v>AUTO</v>
          </cell>
          <cell r="C37" t="str">
            <v>ALL</v>
          </cell>
        </row>
        <row r="38">
          <cell r="A38" t="str">
            <v>EGD-0037</v>
          </cell>
          <cell r="B38" t="str">
            <v>AUTO</v>
          </cell>
          <cell r="C38" t="str">
            <v>ALL</v>
          </cell>
        </row>
        <row r="39">
          <cell r="A39" t="str">
            <v>EGD-0038</v>
          </cell>
          <cell r="B39" t="str">
            <v>AUTO</v>
          </cell>
          <cell r="C39" t="str">
            <v>ALL</v>
          </cell>
        </row>
        <row r="40">
          <cell r="A40" t="str">
            <v>EGD-0039</v>
          </cell>
          <cell r="B40" t="str">
            <v>AUTO</v>
          </cell>
          <cell r="C40" t="str">
            <v>ALL</v>
          </cell>
        </row>
        <row r="41">
          <cell r="A41" t="str">
            <v>EGD-0040</v>
          </cell>
          <cell r="B41" t="str">
            <v>AUTO</v>
          </cell>
          <cell r="C41" t="str">
            <v>ALL</v>
          </cell>
        </row>
        <row r="42">
          <cell r="A42" t="str">
            <v>EGD-0041</v>
          </cell>
          <cell r="B42" t="str">
            <v>OBS1</v>
          </cell>
          <cell r="C42" t="str">
            <v>FLAIR</v>
          </cell>
        </row>
        <row r="43">
          <cell r="A43" t="str">
            <v>EGD-0042</v>
          </cell>
          <cell r="B43" t="str">
            <v>AUTO</v>
          </cell>
          <cell r="C43" t="str">
            <v>ALL</v>
          </cell>
        </row>
        <row r="44">
          <cell r="A44" t="str">
            <v>EGD-0043</v>
          </cell>
          <cell r="B44" t="str">
            <v>AUTO</v>
          </cell>
          <cell r="C44" t="str">
            <v>ALL</v>
          </cell>
        </row>
        <row r="45">
          <cell r="A45" t="str">
            <v>EGD-0044</v>
          </cell>
          <cell r="B45" t="str">
            <v>AUTO</v>
          </cell>
          <cell r="C45" t="str">
            <v>ALL</v>
          </cell>
        </row>
        <row r="46">
          <cell r="A46" t="str">
            <v>EGD-0045</v>
          </cell>
          <cell r="B46" t="str">
            <v>AUTO</v>
          </cell>
          <cell r="C46" t="str">
            <v>ALL</v>
          </cell>
        </row>
        <row r="47">
          <cell r="A47" t="str">
            <v>EGD-0046</v>
          </cell>
          <cell r="B47" t="str">
            <v>AUTO</v>
          </cell>
          <cell r="C47" t="str">
            <v>ALL</v>
          </cell>
        </row>
        <row r="48">
          <cell r="A48" t="str">
            <v>EGD-0047</v>
          </cell>
          <cell r="B48" t="str">
            <v>OBS2</v>
          </cell>
          <cell r="C48" t="str">
            <v>FLAIR</v>
          </cell>
        </row>
        <row r="49">
          <cell r="A49" t="str">
            <v>EGD-0048</v>
          </cell>
          <cell r="B49" t="str">
            <v>AUTO</v>
          </cell>
          <cell r="C49" t="str">
            <v>ALL</v>
          </cell>
        </row>
        <row r="50">
          <cell r="A50" t="str">
            <v>EGD-0049</v>
          </cell>
          <cell r="B50" t="str">
            <v>AUTO</v>
          </cell>
          <cell r="C50" t="str">
            <v>ALL</v>
          </cell>
        </row>
        <row r="51">
          <cell r="A51" t="str">
            <v>EGD-0050</v>
          </cell>
          <cell r="B51" t="str">
            <v>AUTO</v>
          </cell>
          <cell r="C51" t="str">
            <v>ALL</v>
          </cell>
        </row>
        <row r="52">
          <cell r="A52" t="str">
            <v>EGD-0051</v>
          </cell>
          <cell r="B52" t="str">
            <v>AUTO</v>
          </cell>
          <cell r="C52" t="str">
            <v>ALL</v>
          </cell>
        </row>
        <row r="53">
          <cell r="A53" t="str">
            <v>EGD-0052</v>
          </cell>
          <cell r="B53" t="str">
            <v>OBS1</v>
          </cell>
          <cell r="C53" t="str">
            <v>T2</v>
          </cell>
        </row>
        <row r="54">
          <cell r="A54" t="str">
            <v>EGD-0053</v>
          </cell>
          <cell r="B54" t="str">
            <v>OBS1</v>
          </cell>
          <cell r="C54" t="str">
            <v>T2</v>
          </cell>
        </row>
        <row r="55">
          <cell r="A55" t="str">
            <v>EGD-0054</v>
          </cell>
          <cell r="B55" t="str">
            <v>AUTO</v>
          </cell>
          <cell r="C55" t="str">
            <v>ALL</v>
          </cell>
        </row>
        <row r="56">
          <cell r="A56" t="str">
            <v>EGD-0055</v>
          </cell>
          <cell r="B56" t="str">
            <v>AUTO</v>
          </cell>
          <cell r="C56" t="str">
            <v>ALL</v>
          </cell>
        </row>
        <row r="57">
          <cell r="A57" t="str">
            <v>EGD-0056</v>
          </cell>
          <cell r="B57" t="str">
            <v>AUTO</v>
          </cell>
          <cell r="C57" t="str">
            <v>ALL</v>
          </cell>
        </row>
        <row r="58">
          <cell r="A58" t="str">
            <v>EGD-0057</v>
          </cell>
          <cell r="B58" t="str">
            <v>OBS2</v>
          </cell>
          <cell r="C58" t="str">
            <v>FLAIR</v>
          </cell>
        </row>
        <row r="59">
          <cell r="A59" t="str">
            <v>EGD-0058</v>
          </cell>
          <cell r="B59" t="str">
            <v>OBS1</v>
          </cell>
          <cell r="C59" t="str">
            <v>T2</v>
          </cell>
        </row>
        <row r="60">
          <cell r="A60" t="str">
            <v>EGD-0059</v>
          </cell>
          <cell r="B60" t="str">
            <v>AUTO</v>
          </cell>
          <cell r="C60" t="str">
            <v>ALL</v>
          </cell>
        </row>
        <row r="61">
          <cell r="A61" t="str">
            <v>EGD-0060</v>
          </cell>
          <cell r="B61" t="str">
            <v>AUTO</v>
          </cell>
          <cell r="C61" t="str">
            <v>ALL</v>
          </cell>
        </row>
        <row r="62">
          <cell r="A62" t="str">
            <v>EGD-0061</v>
          </cell>
          <cell r="B62" t="str">
            <v>AUTO</v>
          </cell>
          <cell r="C62" t="str">
            <v>ALL</v>
          </cell>
        </row>
        <row r="63">
          <cell r="A63" t="str">
            <v>EGD-0062</v>
          </cell>
          <cell r="B63" t="str">
            <v>OBS1</v>
          </cell>
          <cell r="C63" t="str">
            <v>T2</v>
          </cell>
        </row>
        <row r="64">
          <cell r="A64" t="str">
            <v>EGD-0063</v>
          </cell>
          <cell r="B64" t="str">
            <v>AUTO</v>
          </cell>
          <cell r="C64" t="str">
            <v>ALL</v>
          </cell>
        </row>
        <row r="65">
          <cell r="A65" t="str">
            <v>EGD-0064</v>
          </cell>
          <cell r="B65" t="str">
            <v>OBS1</v>
          </cell>
          <cell r="C65" t="str">
            <v>T2</v>
          </cell>
        </row>
        <row r="66">
          <cell r="A66" t="str">
            <v>EGD-0065</v>
          </cell>
          <cell r="B66" t="str">
            <v>AUTO</v>
          </cell>
          <cell r="C66" t="str">
            <v>ALL</v>
          </cell>
        </row>
        <row r="67">
          <cell r="A67" t="str">
            <v>EGD-0066</v>
          </cell>
          <cell r="B67" t="str">
            <v>AUTO</v>
          </cell>
          <cell r="C67" t="str">
            <v>ALL</v>
          </cell>
        </row>
        <row r="68">
          <cell r="A68" t="str">
            <v>EGD-0067</v>
          </cell>
          <cell r="B68" t="str">
            <v>OBS1</v>
          </cell>
          <cell r="C68" t="str">
            <v>T2</v>
          </cell>
        </row>
        <row r="69">
          <cell r="A69" t="str">
            <v>EGD-0068</v>
          </cell>
          <cell r="B69" t="str">
            <v>AUTO</v>
          </cell>
          <cell r="C69" t="str">
            <v>ALL</v>
          </cell>
        </row>
        <row r="70">
          <cell r="A70" t="str">
            <v>EGD-0069</v>
          </cell>
          <cell r="B70" t="str">
            <v>AUTO</v>
          </cell>
          <cell r="C70" t="str">
            <v>ALL</v>
          </cell>
        </row>
        <row r="71">
          <cell r="A71" t="str">
            <v>EGD-0070</v>
          </cell>
          <cell r="B71" t="str">
            <v>AUTO</v>
          </cell>
          <cell r="C71" t="str">
            <v>ALL</v>
          </cell>
        </row>
        <row r="72">
          <cell r="A72" t="str">
            <v>EGD-0071</v>
          </cell>
          <cell r="B72" t="str">
            <v>AUTO</v>
          </cell>
          <cell r="C72" t="str">
            <v>ALL</v>
          </cell>
        </row>
        <row r="73">
          <cell r="A73" t="str">
            <v>EGD-0072</v>
          </cell>
          <cell r="B73" t="str">
            <v>OBS1</v>
          </cell>
          <cell r="C73" t="str">
            <v>T2</v>
          </cell>
        </row>
        <row r="74">
          <cell r="A74" t="str">
            <v>EGD-0073</v>
          </cell>
          <cell r="B74" t="str">
            <v>OBS1</v>
          </cell>
          <cell r="C74" t="str">
            <v>T2</v>
          </cell>
        </row>
        <row r="75">
          <cell r="A75" t="str">
            <v>EGD-0074</v>
          </cell>
          <cell r="B75" t="str">
            <v>OBS2</v>
          </cell>
          <cell r="C75" t="str">
            <v>FLAIR</v>
          </cell>
        </row>
        <row r="76">
          <cell r="A76" t="str">
            <v>EGD-0075</v>
          </cell>
          <cell r="B76" t="str">
            <v>AUTO</v>
          </cell>
          <cell r="C76" t="str">
            <v>ALL</v>
          </cell>
        </row>
        <row r="77">
          <cell r="A77" t="str">
            <v>EGD-0076</v>
          </cell>
          <cell r="B77" t="str">
            <v>AUTO</v>
          </cell>
          <cell r="C77" t="str">
            <v>ALL</v>
          </cell>
        </row>
        <row r="78">
          <cell r="A78" t="str">
            <v>EGD-0077</v>
          </cell>
          <cell r="B78" t="str">
            <v>AUTO</v>
          </cell>
          <cell r="C78" t="str">
            <v>ALL</v>
          </cell>
        </row>
        <row r="79">
          <cell r="A79" t="str">
            <v>EGD-0078</v>
          </cell>
          <cell r="B79" t="str">
            <v>AUTO</v>
          </cell>
          <cell r="C79" t="str">
            <v>ALL</v>
          </cell>
        </row>
        <row r="80">
          <cell r="A80" t="str">
            <v>EGD-0079</v>
          </cell>
          <cell r="B80" t="str">
            <v>AUTO</v>
          </cell>
          <cell r="C80" t="str">
            <v>ALL</v>
          </cell>
        </row>
        <row r="81">
          <cell r="A81" t="str">
            <v>EGD-0080</v>
          </cell>
          <cell r="B81" t="str">
            <v>OBS1</v>
          </cell>
          <cell r="C81" t="str">
            <v>T2</v>
          </cell>
        </row>
        <row r="82">
          <cell r="A82" t="str">
            <v>EGD-0081</v>
          </cell>
          <cell r="B82" t="str">
            <v>OBS1</v>
          </cell>
          <cell r="C82" t="str">
            <v>T2</v>
          </cell>
        </row>
        <row r="83">
          <cell r="A83" t="str">
            <v>EGD-0082</v>
          </cell>
          <cell r="B83" t="str">
            <v>OBS1</v>
          </cell>
          <cell r="C83" t="str">
            <v>T2</v>
          </cell>
        </row>
        <row r="84">
          <cell r="A84" t="str">
            <v>EGD-0083</v>
          </cell>
          <cell r="B84" t="str">
            <v>OBS1</v>
          </cell>
          <cell r="C84" t="str">
            <v>T2</v>
          </cell>
        </row>
        <row r="85">
          <cell r="A85" t="str">
            <v>EGD-0084</v>
          </cell>
          <cell r="B85" t="str">
            <v>AUTO</v>
          </cell>
          <cell r="C85" t="str">
            <v>ALL</v>
          </cell>
        </row>
        <row r="86">
          <cell r="A86" t="str">
            <v>EGD-0085</v>
          </cell>
          <cell r="B86" t="str">
            <v>AUTO</v>
          </cell>
          <cell r="C86" t="str">
            <v>ALL</v>
          </cell>
        </row>
        <row r="87">
          <cell r="A87" t="str">
            <v>EGD-0086</v>
          </cell>
          <cell r="B87" t="str">
            <v>AUTO</v>
          </cell>
          <cell r="C87" t="str">
            <v>ALL</v>
          </cell>
        </row>
        <row r="88">
          <cell r="A88" t="str">
            <v>EGD-0087</v>
          </cell>
          <cell r="B88" t="str">
            <v>AUTO</v>
          </cell>
          <cell r="C88" t="str">
            <v>ALL</v>
          </cell>
        </row>
        <row r="89">
          <cell r="A89" t="str">
            <v>EGD-0088</v>
          </cell>
          <cell r="B89" t="str">
            <v>AUTO</v>
          </cell>
          <cell r="C89" t="str">
            <v>ALL</v>
          </cell>
        </row>
        <row r="90">
          <cell r="A90" t="str">
            <v>EGD-0089</v>
          </cell>
          <cell r="B90" t="str">
            <v>AUTO</v>
          </cell>
          <cell r="C90" t="str">
            <v>ALL</v>
          </cell>
        </row>
        <row r="91">
          <cell r="A91" t="str">
            <v>EGD-0090</v>
          </cell>
          <cell r="B91" t="str">
            <v>OBS2</v>
          </cell>
          <cell r="C91" t="str">
            <v>FLAIR</v>
          </cell>
        </row>
        <row r="92">
          <cell r="A92" t="str">
            <v>EGD-0091</v>
          </cell>
          <cell r="B92" t="str">
            <v>OBS1</v>
          </cell>
          <cell r="C92" t="str">
            <v>T2</v>
          </cell>
        </row>
        <row r="93">
          <cell r="A93" t="str">
            <v>EGD-0092</v>
          </cell>
          <cell r="B93" t="str">
            <v>AUTO</v>
          </cell>
          <cell r="C93" t="str">
            <v>ALL</v>
          </cell>
        </row>
        <row r="94">
          <cell r="A94" t="str">
            <v>EGD-0093</v>
          </cell>
          <cell r="B94" t="str">
            <v>AUTO</v>
          </cell>
          <cell r="C94" t="str">
            <v>ALL</v>
          </cell>
        </row>
        <row r="95">
          <cell r="A95" t="str">
            <v>EGD-0094</v>
          </cell>
          <cell r="B95" t="str">
            <v>OBS1</v>
          </cell>
          <cell r="C95" t="str">
            <v>T2</v>
          </cell>
        </row>
        <row r="96">
          <cell r="A96" t="str">
            <v>EGD-0095</v>
          </cell>
          <cell r="B96" t="str">
            <v>AUTO</v>
          </cell>
          <cell r="C96" t="str">
            <v>ALL</v>
          </cell>
        </row>
        <row r="97">
          <cell r="A97" t="str">
            <v>EGD-0096</v>
          </cell>
          <cell r="B97" t="str">
            <v>AUTO</v>
          </cell>
          <cell r="C97" t="str">
            <v>ALL</v>
          </cell>
        </row>
        <row r="98">
          <cell r="A98" t="str">
            <v>EGD-0097</v>
          </cell>
          <cell r="B98" t="str">
            <v>AUTO</v>
          </cell>
          <cell r="C98" t="str">
            <v>ALL</v>
          </cell>
        </row>
        <row r="99">
          <cell r="A99" t="str">
            <v>EGD-0098</v>
          </cell>
          <cell r="B99" t="str">
            <v>OBS1</v>
          </cell>
          <cell r="C99" t="str">
            <v>T2</v>
          </cell>
        </row>
        <row r="100">
          <cell r="A100" t="str">
            <v>EGD-0099</v>
          </cell>
          <cell r="B100" t="str">
            <v>OBS1</v>
          </cell>
          <cell r="C100" t="str">
            <v>T2</v>
          </cell>
        </row>
        <row r="101">
          <cell r="A101" t="str">
            <v>EGD-0100</v>
          </cell>
          <cell r="B101" t="str">
            <v>OBS1</v>
          </cell>
          <cell r="C101" t="str">
            <v>T2</v>
          </cell>
        </row>
        <row r="102">
          <cell r="A102" t="str">
            <v>EGD-0101</v>
          </cell>
          <cell r="B102" t="str">
            <v>AUTO</v>
          </cell>
          <cell r="C102" t="str">
            <v>ALL</v>
          </cell>
        </row>
        <row r="103">
          <cell r="A103" t="str">
            <v>EGD-0102</v>
          </cell>
          <cell r="B103" t="str">
            <v>OBS1</v>
          </cell>
          <cell r="C103" t="str">
            <v>T2</v>
          </cell>
        </row>
        <row r="104">
          <cell r="A104" t="str">
            <v>EGD-0103</v>
          </cell>
          <cell r="B104" t="str">
            <v>AUTO</v>
          </cell>
          <cell r="C104" t="str">
            <v>ALL</v>
          </cell>
        </row>
        <row r="105">
          <cell r="A105" t="str">
            <v>EGD-0104</v>
          </cell>
          <cell r="B105" t="str">
            <v>OBS1</v>
          </cell>
          <cell r="C105" t="str">
            <v>FLAIR</v>
          </cell>
        </row>
        <row r="106">
          <cell r="A106" t="str">
            <v>EGD-0105</v>
          </cell>
          <cell r="B106" t="str">
            <v>OBS1</v>
          </cell>
          <cell r="C106" t="str">
            <v>T2</v>
          </cell>
        </row>
        <row r="107">
          <cell r="A107" t="str">
            <v>EGD-0106</v>
          </cell>
          <cell r="B107" t="str">
            <v>OBS1</v>
          </cell>
          <cell r="C107" t="str">
            <v>FLAIR</v>
          </cell>
        </row>
        <row r="108">
          <cell r="A108" t="str">
            <v>EGD-0107</v>
          </cell>
          <cell r="B108" t="str">
            <v>OBS1</v>
          </cell>
          <cell r="C108" t="str">
            <v>FLAIR</v>
          </cell>
        </row>
        <row r="109">
          <cell r="A109" t="str">
            <v>EGD-0108</v>
          </cell>
          <cell r="B109" t="str">
            <v>AUTO</v>
          </cell>
          <cell r="C109" t="str">
            <v>ALL</v>
          </cell>
        </row>
        <row r="110">
          <cell r="A110" t="str">
            <v>EGD-0109</v>
          </cell>
          <cell r="B110" t="str">
            <v>OBS1</v>
          </cell>
          <cell r="C110" t="str">
            <v>T2</v>
          </cell>
        </row>
        <row r="111">
          <cell r="A111" t="str">
            <v>EGD-0110</v>
          </cell>
          <cell r="B111" t="str">
            <v>OBS1</v>
          </cell>
          <cell r="C111" t="str">
            <v>T2</v>
          </cell>
        </row>
        <row r="112">
          <cell r="A112" t="str">
            <v>EGD-0111</v>
          </cell>
          <cell r="B112" t="str">
            <v>AUTO</v>
          </cell>
          <cell r="C112" t="str">
            <v>ALL</v>
          </cell>
        </row>
        <row r="113">
          <cell r="A113" t="str">
            <v>EGD-0112</v>
          </cell>
          <cell r="B113" t="str">
            <v>OBS1</v>
          </cell>
          <cell r="C113" t="str">
            <v>T2</v>
          </cell>
        </row>
        <row r="114">
          <cell r="A114" t="str">
            <v>EGD-0113</v>
          </cell>
          <cell r="B114" t="str">
            <v>AUTO</v>
          </cell>
          <cell r="C114" t="str">
            <v>ALL</v>
          </cell>
        </row>
        <row r="115">
          <cell r="A115" t="str">
            <v>EGD-0114</v>
          </cell>
          <cell r="B115" t="str">
            <v>OBS1</v>
          </cell>
          <cell r="C115" t="str">
            <v>T2</v>
          </cell>
        </row>
        <row r="116">
          <cell r="A116" t="str">
            <v>EGD-0115</v>
          </cell>
          <cell r="B116" t="str">
            <v>OBS1</v>
          </cell>
          <cell r="C116" t="str">
            <v>T2</v>
          </cell>
        </row>
        <row r="117">
          <cell r="A117" t="str">
            <v>EGD-0116</v>
          </cell>
          <cell r="B117" t="str">
            <v>OBS1</v>
          </cell>
          <cell r="C117" t="str">
            <v>T2</v>
          </cell>
        </row>
        <row r="118">
          <cell r="A118" t="str">
            <v>EGD-0117</v>
          </cell>
          <cell r="B118" t="str">
            <v>OBS1</v>
          </cell>
          <cell r="C118" t="str">
            <v>T2</v>
          </cell>
        </row>
        <row r="119">
          <cell r="A119" t="str">
            <v>EGD-0118</v>
          </cell>
          <cell r="B119" t="str">
            <v>AUTO</v>
          </cell>
          <cell r="C119" t="str">
            <v>ALL</v>
          </cell>
        </row>
        <row r="120">
          <cell r="A120" t="str">
            <v>EGD-0119</v>
          </cell>
          <cell r="B120" t="str">
            <v>AUTO</v>
          </cell>
          <cell r="C120" t="str">
            <v>ALL</v>
          </cell>
        </row>
        <row r="121">
          <cell r="A121" t="str">
            <v>EGD-0120</v>
          </cell>
          <cell r="B121" t="str">
            <v>AUTO</v>
          </cell>
          <cell r="C121" t="str">
            <v>ALL</v>
          </cell>
        </row>
        <row r="122">
          <cell r="A122" t="str">
            <v>EGD-0121</v>
          </cell>
          <cell r="B122" t="str">
            <v>OBS1</v>
          </cell>
          <cell r="C122" t="str">
            <v>FLAIR</v>
          </cell>
        </row>
        <row r="123">
          <cell r="A123" t="str">
            <v>EGD-0122</v>
          </cell>
          <cell r="B123" t="str">
            <v>OBS2</v>
          </cell>
          <cell r="C123" t="str">
            <v>T2</v>
          </cell>
        </row>
        <row r="124">
          <cell r="A124" t="str">
            <v>EGD-0123</v>
          </cell>
          <cell r="B124" t="str">
            <v>OBS2</v>
          </cell>
          <cell r="C124" t="str">
            <v>FLAIR</v>
          </cell>
        </row>
        <row r="125">
          <cell r="A125" t="str">
            <v>EGD-0124</v>
          </cell>
          <cell r="B125" t="str">
            <v>AUTO</v>
          </cell>
          <cell r="C125" t="str">
            <v>ALL</v>
          </cell>
        </row>
        <row r="126">
          <cell r="A126" t="str">
            <v>EGD-0125</v>
          </cell>
          <cell r="B126" t="str">
            <v>OBS1</v>
          </cell>
          <cell r="C126" t="str">
            <v>T2</v>
          </cell>
        </row>
        <row r="127">
          <cell r="A127" t="str">
            <v>EGD-0126</v>
          </cell>
          <cell r="B127" t="str">
            <v>OBS1</v>
          </cell>
          <cell r="C127" t="str">
            <v>T2</v>
          </cell>
        </row>
        <row r="128">
          <cell r="A128" t="str">
            <v>EGD-0127</v>
          </cell>
          <cell r="B128" t="str">
            <v>OBS1</v>
          </cell>
          <cell r="C128" t="str">
            <v>T2</v>
          </cell>
        </row>
        <row r="129">
          <cell r="A129" t="str">
            <v>EGD-0128</v>
          </cell>
          <cell r="B129" t="str">
            <v>OBS2</v>
          </cell>
          <cell r="C129" t="str">
            <v>FLAIR</v>
          </cell>
        </row>
        <row r="130">
          <cell r="A130" t="str">
            <v>EGD-0129</v>
          </cell>
          <cell r="B130" t="str">
            <v>AUTO</v>
          </cell>
          <cell r="C130" t="str">
            <v>ALL</v>
          </cell>
        </row>
        <row r="131">
          <cell r="A131" t="str">
            <v>EGD-0130</v>
          </cell>
          <cell r="B131" t="str">
            <v>AUTO</v>
          </cell>
          <cell r="C131" t="str">
            <v>ALL</v>
          </cell>
        </row>
        <row r="132">
          <cell r="A132" t="str">
            <v>EGD-0131</v>
          </cell>
          <cell r="B132" t="str">
            <v>OBS1</v>
          </cell>
          <cell r="C132" t="str">
            <v>T2</v>
          </cell>
        </row>
        <row r="133">
          <cell r="A133" t="str">
            <v>EGD-0132</v>
          </cell>
          <cell r="B133" t="str">
            <v>OBS1</v>
          </cell>
          <cell r="C133" t="str">
            <v>T2</v>
          </cell>
        </row>
        <row r="134">
          <cell r="A134" t="str">
            <v>EGD-0133</v>
          </cell>
          <cell r="B134" t="str">
            <v>OBS1</v>
          </cell>
          <cell r="C134" t="str">
            <v>FLAIR</v>
          </cell>
        </row>
        <row r="135">
          <cell r="A135" t="str">
            <v>EGD-0134</v>
          </cell>
          <cell r="B135" t="str">
            <v>AUTO</v>
          </cell>
          <cell r="C135" t="str">
            <v>ALL</v>
          </cell>
        </row>
        <row r="136">
          <cell r="A136" t="str">
            <v>EGD-0135</v>
          </cell>
          <cell r="B136" t="str">
            <v>AUTO</v>
          </cell>
          <cell r="C136" t="str">
            <v>ALL</v>
          </cell>
        </row>
        <row r="137">
          <cell r="A137" t="str">
            <v>EGD-0136</v>
          </cell>
          <cell r="B137" t="str">
            <v>AUTO</v>
          </cell>
          <cell r="C137" t="str">
            <v>ALL</v>
          </cell>
        </row>
        <row r="138">
          <cell r="A138" t="str">
            <v>EGD-0137</v>
          </cell>
          <cell r="B138" t="str">
            <v>OBS1</v>
          </cell>
          <cell r="C138" t="str">
            <v>FLAIR</v>
          </cell>
        </row>
        <row r="139">
          <cell r="A139" t="str">
            <v>EGD-0138</v>
          </cell>
          <cell r="B139" t="str">
            <v>OBS1</v>
          </cell>
          <cell r="C139" t="str">
            <v>FLAIR</v>
          </cell>
        </row>
        <row r="140">
          <cell r="A140" t="str">
            <v>EGD-0139</v>
          </cell>
          <cell r="B140" t="str">
            <v>AUTO</v>
          </cell>
          <cell r="C140" t="str">
            <v>ALL</v>
          </cell>
        </row>
        <row r="141">
          <cell r="A141" t="str">
            <v>EGD-0140</v>
          </cell>
          <cell r="B141" t="str">
            <v>AUTO</v>
          </cell>
          <cell r="C141" t="str">
            <v>ALL</v>
          </cell>
        </row>
        <row r="142">
          <cell r="A142" t="str">
            <v>EGD-0141</v>
          </cell>
          <cell r="B142" t="str">
            <v>OBS1</v>
          </cell>
          <cell r="C142" t="str">
            <v>T2</v>
          </cell>
        </row>
        <row r="143">
          <cell r="A143" t="str">
            <v>EGD-0142</v>
          </cell>
          <cell r="B143" t="str">
            <v>AUTO</v>
          </cell>
          <cell r="C143" t="str">
            <v>ALL</v>
          </cell>
        </row>
        <row r="144">
          <cell r="A144" t="str">
            <v>EGD-0143</v>
          </cell>
          <cell r="B144" t="str">
            <v>AUTO</v>
          </cell>
          <cell r="C144" t="str">
            <v>ALL</v>
          </cell>
        </row>
        <row r="145">
          <cell r="A145" t="str">
            <v>EGD-0144</v>
          </cell>
          <cell r="B145" t="str">
            <v>OBS1</v>
          </cell>
          <cell r="C145" t="str">
            <v>T2</v>
          </cell>
        </row>
        <row r="146">
          <cell r="A146" t="str">
            <v>EGD-0145</v>
          </cell>
          <cell r="B146" t="str">
            <v>AUTO</v>
          </cell>
          <cell r="C146" t="str">
            <v>ALL</v>
          </cell>
        </row>
        <row r="147">
          <cell r="A147" t="str">
            <v>EGD-0146</v>
          </cell>
          <cell r="B147" t="str">
            <v>OBS1</v>
          </cell>
          <cell r="C147" t="str">
            <v>FLAIR</v>
          </cell>
        </row>
        <row r="148">
          <cell r="A148" t="str">
            <v>EGD-0147</v>
          </cell>
          <cell r="B148" t="str">
            <v>AUTO</v>
          </cell>
          <cell r="C148" t="str">
            <v>ALL</v>
          </cell>
        </row>
        <row r="149">
          <cell r="A149" t="str">
            <v>EGD-0148</v>
          </cell>
          <cell r="B149" t="str">
            <v>AUTO</v>
          </cell>
          <cell r="C149" t="str">
            <v>ALL</v>
          </cell>
        </row>
        <row r="150">
          <cell r="A150" t="str">
            <v>EGD-0149</v>
          </cell>
          <cell r="B150" t="str">
            <v>AUTO</v>
          </cell>
          <cell r="C150" t="str">
            <v>ALL</v>
          </cell>
        </row>
        <row r="151">
          <cell r="A151" t="str">
            <v>EGD-0150</v>
          </cell>
          <cell r="B151" t="str">
            <v>AUTO</v>
          </cell>
          <cell r="C151" t="str">
            <v>ALL</v>
          </cell>
        </row>
        <row r="152">
          <cell r="A152" t="str">
            <v>EGD-0151</v>
          </cell>
          <cell r="B152" t="str">
            <v>OBS1</v>
          </cell>
          <cell r="C152" t="str">
            <v>T2</v>
          </cell>
        </row>
        <row r="153">
          <cell r="A153" t="str">
            <v>EGD-0152</v>
          </cell>
          <cell r="B153" t="str">
            <v>OBS1</v>
          </cell>
          <cell r="C153" t="str">
            <v>T2</v>
          </cell>
        </row>
        <row r="154">
          <cell r="A154" t="str">
            <v>EGD-0153</v>
          </cell>
          <cell r="B154" t="str">
            <v>AUTO</v>
          </cell>
          <cell r="C154" t="str">
            <v>ALL</v>
          </cell>
        </row>
        <row r="155">
          <cell r="A155" t="str">
            <v>EGD-0154</v>
          </cell>
          <cell r="B155" t="str">
            <v>OBS1</v>
          </cell>
          <cell r="C155" t="str">
            <v>T2</v>
          </cell>
        </row>
        <row r="156">
          <cell r="A156" t="str">
            <v>EGD-0155</v>
          </cell>
          <cell r="B156" t="str">
            <v>OBS1</v>
          </cell>
          <cell r="C156" t="str">
            <v>T2</v>
          </cell>
        </row>
        <row r="157">
          <cell r="A157" t="str">
            <v>EGD-0156</v>
          </cell>
          <cell r="B157" t="str">
            <v>OBS1</v>
          </cell>
          <cell r="C157" t="str">
            <v>FLAIR</v>
          </cell>
        </row>
        <row r="158">
          <cell r="A158" t="str">
            <v>EGD-0157</v>
          </cell>
          <cell r="B158" t="str">
            <v>AUTO</v>
          </cell>
          <cell r="C158" t="str">
            <v>ALL</v>
          </cell>
        </row>
        <row r="159">
          <cell r="A159" t="str">
            <v>EGD-0158</v>
          </cell>
          <cell r="B159" t="str">
            <v>OBS1</v>
          </cell>
          <cell r="C159" t="str">
            <v>FLAIR</v>
          </cell>
        </row>
        <row r="160">
          <cell r="A160" t="str">
            <v>EGD-0159</v>
          </cell>
          <cell r="B160" t="str">
            <v>OBS1</v>
          </cell>
          <cell r="C160" t="str">
            <v>T2</v>
          </cell>
        </row>
        <row r="161">
          <cell r="A161" t="str">
            <v>EGD-0160</v>
          </cell>
          <cell r="B161" t="str">
            <v>OBS1</v>
          </cell>
          <cell r="C161" t="str">
            <v>FLAIR</v>
          </cell>
        </row>
        <row r="162">
          <cell r="A162" t="str">
            <v>EGD-0161</v>
          </cell>
          <cell r="B162" t="str">
            <v>OBS1</v>
          </cell>
          <cell r="C162" t="str">
            <v>FLAIR</v>
          </cell>
        </row>
        <row r="163">
          <cell r="A163" t="str">
            <v>EGD-0162</v>
          </cell>
          <cell r="B163" t="str">
            <v>OBS2</v>
          </cell>
          <cell r="C163" t="str">
            <v>FLAIR</v>
          </cell>
        </row>
        <row r="164">
          <cell r="A164" t="str">
            <v>EGD-0163</v>
          </cell>
          <cell r="B164" t="str">
            <v>AUTO</v>
          </cell>
          <cell r="C164" t="str">
            <v>ALL</v>
          </cell>
        </row>
        <row r="165">
          <cell r="A165" t="str">
            <v>EGD-0164</v>
          </cell>
          <cell r="B165" t="str">
            <v>OBS1</v>
          </cell>
          <cell r="C165" t="str">
            <v>FLAIR</v>
          </cell>
        </row>
        <row r="166">
          <cell r="A166" t="str">
            <v>EGD-0165</v>
          </cell>
          <cell r="B166" t="str">
            <v>OBS1</v>
          </cell>
          <cell r="C166" t="str">
            <v>T2</v>
          </cell>
        </row>
        <row r="167">
          <cell r="A167" t="str">
            <v>EGD-0166</v>
          </cell>
          <cell r="B167" t="str">
            <v>OBS1</v>
          </cell>
          <cell r="C167" t="str">
            <v>T2</v>
          </cell>
        </row>
        <row r="168">
          <cell r="A168" t="str">
            <v>EGD-0167</v>
          </cell>
          <cell r="B168" t="str">
            <v>OBS1</v>
          </cell>
          <cell r="C168" t="str">
            <v>T2</v>
          </cell>
        </row>
        <row r="169">
          <cell r="A169" t="str">
            <v>EGD-0168</v>
          </cell>
          <cell r="B169" t="str">
            <v>OBS1</v>
          </cell>
          <cell r="C169" t="str">
            <v>FLAIR</v>
          </cell>
        </row>
        <row r="170">
          <cell r="A170" t="str">
            <v>EGD-0169</v>
          </cell>
          <cell r="B170" t="str">
            <v>AUTO</v>
          </cell>
          <cell r="C170" t="str">
            <v>ALL</v>
          </cell>
        </row>
        <row r="171">
          <cell r="A171" t="str">
            <v>EGD-0170</v>
          </cell>
          <cell r="B171" t="str">
            <v>AUTO</v>
          </cell>
          <cell r="C171" t="str">
            <v>ALL</v>
          </cell>
        </row>
        <row r="172">
          <cell r="A172" t="str">
            <v>EGD-0171</v>
          </cell>
          <cell r="B172" t="str">
            <v>OBS1</v>
          </cell>
          <cell r="C172" t="str">
            <v>T2</v>
          </cell>
        </row>
        <row r="173">
          <cell r="A173" t="str">
            <v>EGD-0172</v>
          </cell>
          <cell r="B173" t="str">
            <v>OBS1</v>
          </cell>
          <cell r="C173" t="str">
            <v>T2</v>
          </cell>
        </row>
        <row r="174">
          <cell r="A174" t="str">
            <v>EGD-0173</v>
          </cell>
          <cell r="B174" t="str">
            <v>AUTO</v>
          </cell>
          <cell r="C174" t="str">
            <v>ALL</v>
          </cell>
        </row>
        <row r="175">
          <cell r="A175" t="str">
            <v>EGD-0174</v>
          </cell>
          <cell r="B175" t="str">
            <v>AUTO</v>
          </cell>
          <cell r="C175" t="str">
            <v>ALL</v>
          </cell>
        </row>
        <row r="176">
          <cell r="A176" t="str">
            <v>EGD-0175</v>
          </cell>
          <cell r="B176" t="str">
            <v>AUTO</v>
          </cell>
          <cell r="C176" t="str">
            <v>ALL</v>
          </cell>
        </row>
        <row r="177">
          <cell r="A177" t="str">
            <v>EGD-0176</v>
          </cell>
          <cell r="B177" t="str">
            <v>AUTO</v>
          </cell>
          <cell r="C177" t="str">
            <v>ALL</v>
          </cell>
        </row>
        <row r="178">
          <cell r="A178" t="str">
            <v>EGD-0177</v>
          </cell>
          <cell r="B178" t="str">
            <v>AUTO</v>
          </cell>
          <cell r="C178" t="str">
            <v>ALL</v>
          </cell>
        </row>
        <row r="179">
          <cell r="A179" t="str">
            <v>EGD-0178</v>
          </cell>
          <cell r="B179" t="str">
            <v>AUTO</v>
          </cell>
          <cell r="C179" t="str">
            <v>ALL</v>
          </cell>
        </row>
        <row r="180">
          <cell r="A180" t="str">
            <v>EGD-0179</v>
          </cell>
          <cell r="B180" t="str">
            <v>OBS2</v>
          </cell>
          <cell r="C180" t="str">
            <v>FLAIR</v>
          </cell>
        </row>
        <row r="181">
          <cell r="A181" t="str">
            <v>EGD-0180</v>
          </cell>
          <cell r="B181" t="str">
            <v>AUTO</v>
          </cell>
          <cell r="C181" t="str">
            <v>ALL</v>
          </cell>
        </row>
        <row r="182">
          <cell r="A182" t="str">
            <v>EGD-0181</v>
          </cell>
          <cell r="B182" t="str">
            <v>AUTO</v>
          </cell>
          <cell r="C182" t="str">
            <v>ALL</v>
          </cell>
        </row>
        <row r="183">
          <cell r="A183" t="str">
            <v>EGD-0182</v>
          </cell>
          <cell r="B183" t="str">
            <v>OBS1</v>
          </cell>
          <cell r="C183" t="str">
            <v>T2</v>
          </cell>
        </row>
        <row r="184">
          <cell r="A184" t="str">
            <v>EGD-0183</v>
          </cell>
          <cell r="B184" t="str">
            <v>OBS1</v>
          </cell>
          <cell r="C184" t="str">
            <v>T2</v>
          </cell>
        </row>
        <row r="185">
          <cell r="A185" t="str">
            <v>EGD-0184</v>
          </cell>
          <cell r="B185" t="str">
            <v>AUTO</v>
          </cell>
          <cell r="C185" t="str">
            <v>ALL</v>
          </cell>
        </row>
        <row r="186">
          <cell r="A186" t="str">
            <v>EGD-0185</v>
          </cell>
          <cell r="B186" t="str">
            <v>OBS2</v>
          </cell>
          <cell r="C186" t="str">
            <v>FLAIR</v>
          </cell>
        </row>
        <row r="187">
          <cell r="A187" t="str">
            <v>EGD-0186</v>
          </cell>
          <cell r="B187" t="str">
            <v>AUTO</v>
          </cell>
          <cell r="C187" t="str">
            <v>ALL</v>
          </cell>
        </row>
        <row r="188">
          <cell r="A188" t="str">
            <v>EGD-0187</v>
          </cell>
          <cell r="B188" t="str">
            <v>AUTO</v>
          </cell>
          <cell r="C188" t="str">
            <v>ALL</v>
          </cell>
        </row>
        <row r="189">
          <cell r="A189" t="str">
            <v>EGD-0188</v>
          </cell>
          <cell r="B189" t="str">
            <v>OBS1</v>
          </cell>
          <cell r="C189" t="str">
            <v>FLAIR</v>
          </cell>
        </row>
        <row r="190">
          <cell r="A190" t="str">
            <v>EGD-0189</v>
          </cell>
          <cell r="B190" t="str">
            <v>AUTO</v>
          </cell>
          <cell r="C190" t="str">
            <v>ALL</v>
          </cell>
        </row>
        <row r="191">
          <cell r="A191" t="str">
            <v>EGD-0190</v>
          </cell>
          <cell r="B191" t="str">
            <v>AUTO</v>
          </cell>
          <cell r="C191" t="str">
            <v>ALL</v>
          </cell>
        </row>
        <row r="192">
          <cell r="A192" t="str">
            <v>EGD-0191</v>
          </cell>
          <cell r="B192" t="str">
            <v>OBS1</v>
          </cell>
          <cell r="C192" t="str">
            <v>FLAIR</v>
          </cell>
        </row>
        <row r="193">
          <cell r="A193" t="str">
            <v>EGD-0192</v>
          </cell>
          <cell r="B193" t="str">
            <v>OBS1</v>
          </cell>
          <cell r="C193" t="str">
            <v>T2</v>
          </cell>
        </row>
        <row r="194">
          <cell r="A194" t="str">
            <v>EGD-0193</v>
          </cell>
          <cell r="B194" t="str">
            <v>AUTO</v>
          </cell>
          <cell r="C194" t="str">
            <v>ALL</v>
          </cell>
        </row>
        <row r="195">
          <cell r="A195" t="str">
            <v>EGD-0194</v>
          </cell>
          <cell r="B195" t="str">
            <v>OBS1</v>
          </cell>
          <cell r="C195" t="str">
            <v>FLAIR</v>
          </cell>
        </row>
        <row r="196">
          <cell r="A196" t="str">
            <v>EGD-0195</v>
          </cell>
          <cell r="B196" t="str">
            <v>OBS1</v>
          </cell>
          <cell r="C196" t="str">
            <v>FLAIR</v>
          </cell>
        </row>
        <row r="197">
          <cell r="A197" t="str">
            <v>EGD-0196</v>
          </cell>
          <cell r="B197" t="str">
            <v>OBS1</v>
          </cell>
          <cell r="C197" t="str">
            <v>T2</v>
          </cell>
        </row>
        <row r="198">
          <cell r="A198" t="str">
            <v>EGD-0197</v>
          </cell>
          <cell r="B198" t="str">
            <v>AUTO</v>
          </cell>
          <cell r="C198" t="str">
            <v>ALL</v>
          </cell>
        </row>
        <row r="199">
          <cell r="A199" t="str">
            <v>EGD-0198</v>
          </cell>
          <cell r="B199" t="str">
            <v>OBS1</v>
          </cell>
          <cell r="C199" t="str">
            <v>T2</v>
          </cell>
        </row>
        <row r="200">
          <cell r="A200" t="str">
            <v>EGD-0199</v>
          </cell>
          <cell r="B200" t="str">
            <v>OBS1</v>
          </cell>
          <cell r="C200" t="str">
            <v>T2</v>
          </cell>
        </row>
        <row r="201">
          <cell r="A201" t="str">
            <v>EGD-0200</v>
          </cell>
          <cell r="B201" t="str">
            <v>OBS1</v>
          </cell>
          <cell r="C201" t="str">
            <v>FLAIR</v>
          </cell>
        </row>
        <row r="202">
          <cell r="A202" t="str">
            <v>EGD-0201</v>
          </cell>
          <cell r="B202" t="str">
            <v>OBS1</v>
          </cell>
          <cell r="C202" t="str">
            <v>T2</v>
          </cell>
        </row>
        <row r="203">
          <cell r="A203" t="str">
            <v>EGD-0202</v>
          </cell>
          <cell r="B203" t="str">
            <v>OBS1</v>
          </cell>
          <cell r="C203" t="str">
            <v>T2</v>
          </cell>
        </row>
        <row r="204">
          <cell r="A204" t="str">
            <v>EGD-0203</v>
          </cell>
          <cell r="B204" t="str">
            <v>OBS2</v>
          </cell>
          <cell r="C204" t="str">
            <v>FLAIR</v>
          </cell>
        </row>
        <row r="205">
          <cell r="A205" t="str">
            <v>EGD-0204</v>
          </cell>
          <cell r="B205" t="str">
            <v>OBS1</v>
          </cell>
          <cell r="C205" t="str">
            <v>T2</v>
          </cell>
        </row>
        <row r="206">
          <cell r="A206" t="str">
            <v>EGD-0205</v>
          </cell>
          <cell r="B206" t="str">
            <v>AUTO</v>
          </cell>
          <cell r="C206" t="str">
            <v>ALL</v>
          </cell>
        </row>
        <row r="207">
          <cell r="A207" t="str">
            <v>EGD-0206</v>
          </cell>
          <cell r="B207" t="str">
            <v>OBS1</v>
          </cell>
          <cell r="C207" t="str">
            <v>T2</v>
          </cell>
        </row>
        <row r="208">
          <cell r="A208" t="str">
            <v>EGD-0207</v>
          </cell>
          <cell r="B208" t="str">
            <v>AUTO</v>
          </cell>
          <cell r="C208" t="str">
            <v>ALL</v>
          </cell>
        </row>
        <row r="209">
          <cell r="A209" t="str">
            <v>EGD-0208</v>
          </cell>
          <cell r="B209" t="str">
            <v>OBS2</v>
          </cell>
          <cell r="C209" t="str">
            <v>FLAIR</v>
          </cell>
        </row>
        <row r="210">
          <cell r="A210" t="str">
            <v>EGD-0209</v>
          </cell>
          <cell r="B210" t="str">
            <v>AUTO</v>
          </cell>
          <cell r="C210" t="str">
            <v>ALL</v>
          </cell>
        </row>
        <row r="211">
          <cell r="A211" t="str">
            <v>EGD-0210</v>
          </cell>
          <cell r="B211" t="str">
            <v>AUTO</v>
          </cell>
          <cell r="C211" t="str">
            <v>ALL</v>
          </cell>
        </row>
        <row r="212">
          <cell r="A212" t="str">
            <v>EGD-0211</v>
          </cell>
          <cell r="B212" t="str">
            <v>OBS1</v>
          </cell>
          <cell r="C212" t="str">
            <v>FLAIR</v>
          </cell>
        </row>
        <row r="213">
          <cell r="A213" t="str">
            <v>EGD-0212</v>
          </cell>
          <cell r="B213" t="str">
            <v>OBS1</v>
          </cell>
          <cell r="C213" t="str">
            <v>FLAIR</v>
          </cell>
        </row>
        <row r="214">
          <cell r="A214" t="str">
            <v>EGD-0213</v>
          </cell>
          <cell r="B214" t="str">
            <v>OBS1</v>
          </cell>
          <cell r="C214" t="str">
            <v>T2</v>
          </cell>
        </row>
        <row r="215">
          <cell r="A215" t="str">
            <v>EGD-0214</v>
          </cell>
          <cell r="B215" t="str">
            <v>AUTO</v>
          </cell>
          <cell r="C215" t="str">
            <v>ALL</v>
          </cell>
        </row>
        <row r="216">
          <cell r="A216" t="str">
            <v>EGD-0215</v>
          </cell>
          <cell r="B216" t="str">
            <v>AUTO</v>
          </cell>
          <cell r="C216" t="str">
            <v>ALL</v>
          </cell>
        </row>
        <row r="217">
          <cell r="A217" t="str">
            <v>EGD-0216</v>
          </cell>
          <cell r="B217" t="str">
            <v>OBS1</v>
          </cell>
          <cell r="C217" t="str">
            <v>T2</v>
          </cell>
        </row>
        <row r="218">
          <cell r="A218" t="str">
            <v>EGD-0217</v>
          </cell>
          <cell r="B218" t="str">
            <v>OBS2</v>
          </cell>
          <cell r="C218" t="str">
            <v>FLAIR</v>
          </cell>
        </row>
        <row r="219">
          <cell r="A219" t="str">
            <v>EGD-0218</v>
          </cell>
          <cell r="B219" t="str">
            <v>OBS1</v>
          </cell>
          <cell r="C219" t="str">
            <v>T2</v>
          </cell>
        </row>
        <row r="220">
          <cell r="A220" t="str">
            <v>EGD-0219</v>
          </cell>
          <cell r="B220" t="str">
            <v>AUTO</v>
          </cell>
          <cell r="C220" t="str">
            <v>ALL</v>
          </cell>
        </row>
        <row r="221">
          <cell r="A221" t="str">
            <v>EGD-0220</v>
          </cell>
          <cell r="B221" t="str">
            <v>AUTO</v>
          </cell>
          <cell r="C221" t="str">
            <v>ALL</v>
          </cell>
        </row>
        <row r="222">
          <cell r="A222" t="str">
            <v>EGD-0221</v>
          </cell>
          <cell r="B222" t="str">
            <v>AUTO</v>
          </cell>
          <cell r="C222" t="str">
            <v>ALL</v>
          </cell>
        </row>
        <row r="223">
          <cell r="A223" t="str">
            <v>EGD-0222</v>
          </cell>
          <cell r="B223" t="str">
            <v>OBS1</v>
          </cell>
          <cell r="C223" t="str">
            <v>T2</v>
          </cell>
        </row>
        <row r="224">
          <cell r="A224" t="str">
            <v>EGD-0223</v>
          </cell>
          <cell r="B224" t="str">
            <v>AUTO</v>
          </cell>
          <cell r="C224" t="str">
            <v>ALL</v>
          </cell>
        </row>
        <row r="225">
          <cell r="A225" t="str">
            <v>EGD-0224</v>
          </cell>
          <cell r="B225" t="str">
            <v>OBS1</v>
          </cell>
          <cell r="C225" t="str">
            <v>T2</v>
          </cell>
        </row>
        <row r="226">
          <cell r="A226" t="str">
            <v>EGD-0225</v>
          </cell>
          <cell r="B226" t="str">
            <v>OBS1</v>
          </cell>
          <cell r="C226" t="str">
            <v>FLAIR</v>
          </cell>
        </row>
        <row r="227">
          <cell r="A227" t="str">
            <v>EGD-0226</v>
          </cell>
          <cell r="B227" t="str">
            <v>OBS1</v>
          </cell>
          <cell r="C227" t="str">
            <v>T2</v>
          </cell>
        </row>
        <row r="228">
          <cell r="A228" t="str">
            <v>EGD-0227</v>
          </cell>
          <cell r="B228" t="str">
            <v>OBS2</v>
          </cell>
          <cell r="C228" t="str">
            <v>FLAIR</v>
          </cell>
        </row>
        <row r="229">
          <cell r="A229" t="str">
            <v>EGD-0228</v>
          </cell>
          <cell r="B229" t="str">
            <v>AUTO</v>
          </cell>
          <cell r="C229" t="str">
            <v>ALL</v>
          </cell>
        </row>
        <row r="230">
          <cell r="A230" t="str">
            <v>EGD-0229</v>
          </cell>
          <cell r="B230" t="str">
            <v>AUTO</v>
          </cell>
          <cell r="C230" t="str">
            <v>ALL</v>
          </cell>
        </row>
        <row r="231">
          <cell r="A231" t="str">
            <v>EGD-0230</v>
          </cell>
          <cell r="B231" t="str">
            <v>AUTO</v>
          </cell>
          <cell r="C231" t="str">
            <v>ALL</v>
          </cell>
        </row>
        <row r="232">
          <cell r="A232" t="str">
            <v>EGD-0231</v>
          </cell>
          <cell r="B232" t="str">
            <v>AUTO</v>
          </cell>
          <cell r="C232" t="str">
            <v>ALL</v>
          </cell>
        </row>
        <row r="233">
          <cell r="A233" t="str">
            <v>EGD-0232</v>
          </cell>
          <cell r="B233" t="str">
            <v>OBS1</v>
          </cell>
          <cell r="C233" t="str">
            <v>T2</v>
          </cell>
        </row>
        <row r="234">
          <cell r="A234" t="str">
            <v>EGD-0233</v>
          </cell>
          <cell r="B234" t="str">
            <v>AUTO</v>
          </cell>
          <cell r="C234" t="str">
            <v>ALL</v>
          </cell>
        </row>
        <row r="235">
          <cell r="A235" t="str">
            <v>EGD-0234</v>
          </cell>
          <cell r="B235" t="str">
            <v>OBS1</v>
          </cell>
          <cell r="C235" t="str">
            <v>T2</v>
          </cell>
        </row>
        <row r="236">
          <cell r="A236" t="str">
            <v>EGD-0235</v>
          </cell>
          <cell r="B236" t="str">
            <v>AUTO</v>
          </cell>
          <cell r="C236" t="str">
            <v>ALL</v>
          </cell>
        </row>
        <row r="237">
          <cell r="A237" t="str">
            <v>EGD-0236</v>
          </cell>
          <cell r="B237" t="str">
            <v>OBS2</v>
          </cell>
          <cell r="C237" t="str">
            <v>T2</v>
          </cell>
        </row>
        <row r="238">
          <cell r="A238" t="str">
            <v>EGD-0237</v>
          </cell>
          <cell r="B238" t="str">
            <v>OBS1</v>
          </cell>
          <cell r="C238" t="str">
            <v>T2</v>
          </cell>
        </row>
        <row r="239">
          <cell r="A239" t="str">
            <v>EGD-0238</v>
          </cell>
          <cell r="B239" t="str">
            <v>OBS1</v>
          </cell>
          <cell r="C239" t="str">
            <v>T2</v>
          </cell>
        </row>
        <row r="240">
          <cell r="A240" t="str">
            <v>EGD-0239</v>
          </cell>
          <cell r="B240" t="str">
            <v>AUTO</v>
          </cell>
          <cell r="C240" t="str">
            <v>ALL</v>
          </cell>
        </row>
        <row r="241">
          <cell r="A241" t="str">
            <v>EGD-0240</v>
          </cell>
          <cell r="B241" t="str">
            <v>OBS2</v>
          </cell>
          <cell r="C241" t="str">
            <v>FLAIR</v>
          </cell>
        </row>
        <row r="242">
          <cell r="A242" t="str">
            <v>EGD-0241</v>
          </cell>
          <cell r="B242" t="str">
            <v>OBS2</v>
          </cell>
          <cell r="C242" t="str">
            <v>FLAIR</v>
          </cell>
        </row>
        <row r="243">
          <cell r="A243" t="str">
            <v>EGD-0242</v>
          </cell>
          <cell r="B243" t="str">
            <v>OBS1</v>
          </cell>
          <cell r="C243" t="str">
            <v>FLAIR</v>
          </cell>
        </row>
        <row r="244">
          <cell r="A244" t="str">
            <v>EGD-0243</v>
          </cell>
          <cell r="B244" t="str">
            <v>OBS1</v>
          </cell>
          <cell r="C244" t="str">
            <v>FLAIR</v>
          </cell>
        </row>
        <row r="245">
          <cell r="A245" t="str">
            <v>EGD-0244</v>
          </cell>
          <cell r="B245" t="str">
            <v>OBS1</v>
          </cell>
          <cell r="C245" t="str">
            <v>FLAIR</v>
          </cell>
        </row>
        <row r="246">
          <cell r="A246" t="str">
            <v>EGD-0245</v>
          </cell>
          <cell r="B246" t="str">
            <v>AUTO</v>
          </cell>
          <cell r="C246" t="str">
            <v>ALL</v>
          </cell>
        </row>
        <row r="247">
          <cell r="A247" t="str">
            <v>EGD-0246</v>
          </cell>
          <cell r="B247" t="str">
            <v>OBS1</v>
          </cell>
          <cell r="C247" t="str">
            <v>FLAIR</v>
          </cell>
        </row>
        <row r="248">
          <cell r="A248" t="str">
            <v>EGD-0247</v>
          </cell>
          <cell r="B248" t="str">
            <v>OBS1</v>
          </cell>
          <cell r="C248" t="str">
            <v>T2</v>
          </cell>
        </row>
        <row r="249">
          <cell r="A249" t="str">
            <v>EGD-0248</v>
          </cell>
          <cell r="B249" t="str">
            <v>AUTO</v>
          </cell>
          <cell r="C249" t="str">
            <v>ALL</v>
          </cell>
        </row>
        <row r="250">
          <cell r="A250" t="str">
            <v>EGD-0249</v>
          </cell>
          <cell r="B250" t="str">
            <v>AUTO</v>
          </cell>
          <cell r="C250" t="str">
            <v>ALL</v>
          </cell>
        </row>
        <row r="251">
          <cell r="A251" t="str">
            <v>EGD-0250</v>
          </cell>
          <cell r="B251" t="str">
            <v>OBS1</v>
          </cell>
          <cell r="C251" t="str">
            <v>T2</v>
          </cell>
        </row>
        <row r="252">
          <cell r="A252" t="str">
            <v>EGD-0251</v>
          </cell>
          <cell r="B252" t="str">
            <v>OBS1</v>
          </cell>
          <cell r="C252" t="str">
            <v>T2</v>
          </cell>
        </row>
        <row r="253">
          <cell r="A253" t="str">
            <v>EGD-0252</v>
          </cell>
          <cell r="B253" t="str">
            <v>AUTO</v>
          </cell>
          <cell r="C253" t="str">
            <v>ALL</v>
          </cell>
        </row>
        <row r="254">
          <cell r="A254" t="str">
            <v>EGD-0253</v>
          </cell>
          <cell r="B254" t="str">
            <v>OBS2</v>
          </cell>
          <cell r="C254" t="str">
            <v>FLAIR</v>
          </cell>
        </row>
        <row r="255">
          <cell r="A255" t="str">
            <v>EGD-0254</v>
          </cell>
          <cell r="B255" t="str">
            <v>AUTO</v>
          </cell>
          <cell r="C255" t="str">
            <v>ALL</v>
          </cell>
        </row>
        <row r="256">
          <cell r="A256" t="str">
            <v>EGD-0255</v>
          </cell>
          <cell r="B256" t="str">
            <v>AUTO</v>
          </cell>
          <cell r="C256" t="str">
            <v>ALL</v>
          </cell>
        </row>
        <row r="257">
          <cell r="A257" t="str">
            <v>EGD-0256</v>
          </cell>
          <cell r="B257" t="str">
            <v>AUTO</v>
          </cell>
          <cell r="C257" t="str">
            <v>ALL</v>
          </cell>
        </row>
        <row r="258">
          <cell r="A258" t="str">
            <v>EGD-0257</v>
          </cell>
          <cell r="B258" t="str">
            <v>AUTO</v>
          </cell>
          <cell r="C258" t="str">
            <v>ALL</v>
          </cell>
        </row>
        <row r="259">
          <cell r="A259" t="str">
            <v>EGD-0258</v>
          </cell>
          <cell r="B259" t="str">
            <v>AUTO</v>
          </cell>
          <cell r="C259" t="str">
            <v>ALL</v>
          </cell>
        </row>
        <row r="260">
          <cell r="A260" t="str">
            <v>EGD-0259</v>
          </cell>
          <cell r="B260" t="str">
            <v>AUTO</v>
          </cell>
          <cell r="C260" t="str">
            <v>ALL</v>
          </cell>
        </row>
        <row r="261">
          <cell r="A261" t="str">
            <v>EGD-0260</v>
          </cell>
          <cell r="B261" t="str">
            <v>AUTO</v>
          </cell>
          <cell r="C261" t="str">
            <v>ALL</v>
          </cell>
        </row>
        <row r="262">
          <cell r="A262" t="str">
            <v>EGD-0261</v>
          </cell>
          <cell r="B262" t="str">
            <v>AUTO</v>
          </cell>
          <cell r="C262" t="str">
            <v>ALL</v>
          </cell>
        </row>
        <row r="263">
          <cell r="A263" t="str">
            <v>EGD-0262</v>
          </cell>
          <cell r="B263" t="str">
            <v>AUTO</v>
          </cell>
          <cell r="C263" t="str">
            <v>ALL</v>
          </cell>
        </row>
        <row r="264">
          <cell r="A264" t="str">
            <v>EGD-0263</v>
          </cell>
          <cell r="B264" t="str">
            <v>OBS1</v>
          </cell>
          <cell r="C264" t="str">
            <v>T2</v>
          </cell>
        </row>
        <row r="265">
          <cell r="A265" t="str">
            <v>EGD-0264</v>
          </cell>
          <cell r="B265" t="str">
            <v>OBS1</v>
          </cell>
          <cell r="C265" t="str">
            <v>T2</v>
          </cell>
        </row>
        <row r="266">
          <cell r="A266" t="str">
            <v>EGD-0265</v>
          </cell>
          <cell r="B266" t="str">
            <v>AUTO</v>
          </cell>
          <cell r="C266" t="str">
            <v>ALL</v>
          </cell>
        </row>
        <row r="267">
          <cell r="A267" t="str">
            <v>EGD-0266</v>
          </cell>
          <cell r="B267" t="str">
            <v>AUTO</v>
          </cell>
          <cell r="C267" t="str">
            <v>ALL</v>
          </cell>
        </row>
        <row r="268">
          <cell r="A268" t="str">
            <v>EGD-0267</v>
          </cell>
          <cell r="B268" t="str">
            <v>AUTO</v>
          </cell>
          <cell r="C268" t="str">
            <v>ALL</v>
          </cell>
        </row>
        <row r="269">
          <cell r="A269" t="str">
            <v>EGD-0268</v>
          </cell>
          <cell r="B269" t="str">
            <v>AUTO</v>
          </cell>
          <cell r="C269" t="str">
            <v>ALL</v>
          </cell>
        </row>
        <row r="270">
          <cell r="A270" t="str">
            <v>EGD-0269</v>
          </cell>
          <cell r="B270" t="str">
            <v>AUTO</v>
          </cell>
          <cell r="C270" t="str">
            <v>ALL</v>
          </cell>
        </row>
        <row r="271">
          <cell r="A271" t="str">
            <v>EGD-0270</v>
          </cell>
          <cell r="B271" t="str">
            <v>OBS1</v>
          </cell>
          <cell r="C271" t="str">
            <v>T2</v>
          </cell>
        </row>
        <row r="272">
          <cell r="A272" t="str">
            <v>EGD-0271</v>
          </cell>
          <cell r="B272" t="str">
            <v>AUTO</v>
          </cell>
          <cell r="C272" t="str">
            <v>ALL</v>
          </cell>
        </row>
        <row r="273">
          <cell r="A273" t="str">
            <v>EGD-0272</v>
          </cell>
          <cell r="B273" t="str">
            <v>OBS1</v>
          </cell>
          <cell r="C273" t="str">
            <v>FLAIR</v>
          </cell>
        </row>
        <row r="274">
          <cell r="A274" t="str">
            <v>EGD-0273</v>
          </cell>
          <cell r="B274" t="str">
            <v>AUTO</v>
          </cell>
          <cell r="C274" t="str">
            <v>ALL</v>
          </cell>
        </row>
        <row r="275">
          <cell r="A275" t="str">
            <v>EGD-0274</v>
          </cell>
          <cell r="B275" t="str">
            <v>OBS1</v>
          </cell>
          <cell r="C275" t="str">
            <v>FLAIR</v>
          </cell>
        </row>
        <row r="276">
          <cell r="A276" t="str">
            <v>EGD-0275</v>
          </cell>
          <cell r="B276" t="str">
            <v>OBS1</v>
          </cell>
          <cell r="C276" t="str">
            <v>T2</v>
          </cell>
        </row>
        <row r="277">
          <cell r="A277" t="str">
            <v>EGD-0276</v>
          </cell>
          <cell r="B277" t="str">
            <v>AUTO</v>
          </cell>
          <cell r="C277" t="str">
            <v>ALL</v>
          </cell>
        </row>
        <row r="278">
          <cell r="A278" t="str">
            <v>EGD-0277</v>
          </cell>
          <cell r="B278" t="str">
            <v>AUTO</v>
          </cell>
          <cell r="C278" t="str">
            <v>ALL</v>
          </cell>
        </row>
        <row r="279">
          <cell r="A279" t="str">
            <v>EGD-0278</v>
          </cell>
          <cell r="B279" t="str">
            <v>AUTO</v>
          </cell>
          <cell r="C279" t="str">
            <v>ALL</v>
          </cell>
        </row>
        <row r="280">
          <cell r="A280" t="str">
            <v>EGD-0279</v>
          </cell>
          <cell r="B280" t="str">
            <v>OBS1</v>
          </cell>
          <cell r="C280" t="str">
            <v>T2</v>
          </cell>
        </row>
        <row r="281">
          <cell r="A281" t="str">
            <v>EGD-0280</v>
          </cell>
          <cell r="B281" t="str">
            <v>OBS1</v>
          </cell>
          <cell r="C281" t="str">
            <v>T2</v>
          </cell>
        </row>
        <row r="282">
          <cell r="A282" t="str">
            <v>EGD-0281</v>
          </cell>
          <cell r="B282" t="str">
            <v>OBS1</v>
          </cell>
          <cell r="C282" t="str">
            <v>T2</v>
          </cell>
        </row>
        <row r="283">
          <cell r="A283" t="str">
            <v>EGD-0282</v>
          </cell>
          <cell r="B283" t="str">
            <v>OBS1</v>
          </cell>
          <cell r="C283" t="str">
            <v>T2</v>
          </cell>
        </row>
        <row r="284">
          <cell r="A284" t="str">
            <v>EGD-0283</v>
          </cell>
          <cell r="B284" t="str">
            <v>AUTO</v>
          </cell>
          <cell r="C284" t="str">
            <v>ALL</v>
          </cell>
        </row>
        <row r="285">
          <cell r="A285" t="str">
            <v>EGD-0284</v>
          </cell>
          <cell r="B285" t="str">
            <v>AUTO</v>
          </cell>
          <cell r="C285" t="str">
            <v>ALL</v>
          </cell>
        </row>
        <row r="286">
          <cell r="A286" t="str">
            <v>EGD-0285</v>
          </cell>
          <cell r="B286" t="str">
            <v>OBS1</v>
          </cell>
          <cell r="C286" t="str">
            <v>FLAIR</v>
          </cell>
        </row>
        <row r="287">
          <cell r="A287" t="str">
            <v>EGD-0286</v>
          </cell>
          <cell r="B287" t="str">
            <v>OBS2</v>
          </cell>
          <cell r="C287" t="str">
            <v>FLAIR</v>
          </cell>
        </row>
        <row r="288">
          <cell r="A288" t="str">
            <v>EGD-0287</v>
          </cell>
          <cell r="B288" t="str">
            <v>AUTO</v>
          </cell>
          <cell r="C288" t="str">
            <v>ALL</v>
          </cell>
        </row>
        <row r="289">
          <cell r="A289" t="str">
            <v>EGD-0288</v>
          </cell>
          <cell r="B289" t="str">
            <v>AUTO</v>
          </cell>
          <cell r="C289" t="str">
            <v>ALL</v>
          </cell>
        </row>
        <row r="290">
          <cell r="A290" t="str">
            <v>EGD-0289</v>
          </cell>
          <cell r="B290" t="str">
            <v>OBS1</v>
          </cell>
          <cell r="C290" t="str">
            <v>FLAIR</v>
          </cell>
        </row>
        <row r="291">
          <cell r="A291" t="str">
            <v>EGD-0290</v>
          </cell>
          <cell r="B291" t="str">
            <v>AUTO</v>
          </cell>
          <cell r="C291" t="str">
            <v>ALL</v>
          </cell>
        </row>
        <row r="292">
          <cell r="A292" t="str">
            <v>EGD-0291</v>
          </cell>
          <cell r="B292" t="str">
            <v>OBS1</v>
          </cell>
          <cell r="C292" t="str">
            <v>T2</v>
          </cell>
        </row>
        <row r="293">
          <cell r="A293" t="str">
            <v>EGD-0292</v>
          </cell>
          <cell r="B293" t="str">
            <v>OBS1</v>
          </cell>
          <cell r="C293" t="str">
            <v>T2</v>
          </cell>
        </row>
        <row r="294">
          <cell r="A294" t="str">
            <v>EGD-0293</v>
          </cell>
          <cell r="B294" t="str">
            <v>OBS1</v>
          </cell>
          <cell r="C294" t="str">
            <v>T2</v>
          </cell>
        </row>
        <row r="295">
          <cell r="A295" t="str">
            <v>EGD-0294</v>
          </cell>
          <cell r="B295" t="str">
            <v>AUTO</v>
          </cell>
          <cell r="C295" t="str">
            <v>ALL</v>
          </cell>
        </row>
        <row r="296">
          <cell r="A296" t="str">
            <v>EGD-0295</v>
          </cell>
          <cell r="B296" t="str">
            <v>AUTO</v>
          </cell>
          <cell r="C296" t="str">
            <v>ALL</v>
          </cell>
        </row>
        <row r="297">
          <cell r="A297" t="str">
            <v>EGD-0296</v>
          </cell>
          <cell r="B297" t="str">
            <v>AUTO</v>
          </cell>
          <cell r="C297" t="str">
            <v>ALL</v>
          </cell>
        </row>
        <row r="298">
          <cell r="A298" t="str">
            <v>EGD-0297</v>
          </cell>
          <cell r="B298" t="str">
            <v>OBS2</v>
          </cell>
          <cell r="C298" t="str">
            <v>FLAIR</v>
          </cell>
        </row>
        <row r="299">
          <cell r="A299" t="str">
            <v>EGD-0298</v>
          </cell>
          <cell r="B299" t="str">
            <v>OBS1</v>
          </cell>
          <cell r="C299" t="str">
            <v>T2</v>
          </cell>
        </row>
        <row r="300">
          <cell r="A300" t="str">
            <v>EGD-0299</v>
          </cell>
          <cell r="B300" t="str">
            <v>AUTO</v>
          </cell>
          <cell r="C300" t="str">
            <v>ALL</v>
          </cell>
        </row>
        <row r="301">
          <cell r="A301" t="str">
            <v>EGD-0300</v>
          </cell>
          <cell r="B301" t="str">
            <v>AUTO</v>
          </cell>
          <cell r="C301" t="str">
            <v>ALL</v>
          </cell>
        </row>
        <row r="302">
          <cell r="A302" t="str">
            <v>EGD-0301</v>
          </cell>
          <cell r="B302" t="str">
            <v>OBS2</v>
          </cell>
          <cell r="C302" t="str">
            <v>FLAIR</v>
          </cell>
        </row>
        <row r="303">
          <cell r="A303" t="str">
            <v>EGD-0302</v>
          </cell>
          <cell r="B303" t="str">
            <v>OBS1</v>
          </cell>
          <cell r="C303" t="str">
            <v>T2</v>
          </cell>
        </row>
        <row r="304">
          <cell r="A304" t="str">
            <v>EGD-0303</v>
          </cell>
          <cell r="B304" t="str">
            <v>OBS1</v>
          </cell>
          <cell r="C304" t="str">
            <v>T2</v>
          </cell>
        </row>
        <row r="305">
          <cell r="A305" t="str">
            <v>EGD-0304</v>
          </cell>
          <cell r="B305" t="str">
            <v>AUTO</v>
          </cell>
          <cell r="C305" t="str">
            <v>ALL</v>
          </cell>
        </row>
        <row r="306">
          <cell r="A306" t="str">
            <v>EGD-0305</v>
          </cell>
          <cell r="B306" t="str">
            <v>OBS1</v>
          </cell>
          <cell r="C306" t="str">
            <v>T2</v>
          </cell>
        </row>
        <row r="307">
          <cell r="A307" t="str">
            <v>EGD-0306</v>
          </cell>
          <cell r="B307" t="str">
            <v>AUTO</v>
          </cell>
          <cell r="C307" t="str">
            <v>ALL</v>
          </cell>
        </row>
        <row r="308">
          <cell r="A308" t="str">
            <v>EGD-0307</v>
          </cell>
          <cell r="B308" t="str">
            <v>AUTO</v>
          </cell>
          <cell r="C308" t="str">
            <v>ALL</v>
          </cell>
        </row>
        <row r="309">
          <cell r="A309" t="str">
            <v>EGD-0308</v>
          </cell>
          <cell r="B309" t="str">
            <v>OBS2</v>
          </cell>
          <cell r="C309" t="str">
            <v>FLAIR</v>
          </cell>
        </row>
        <row r="310">
          <cell r="A310" t="str">
            <v>EGD-0309</v>
          </cell>
          <cell r="B310" t="str">
            <v>OBS1</v>
          </cell>
          <cell r="C310" t="str">
            <v>FLAIR</v>
          </cell>
        </row>
        <row r="311">
          <cell r="A311" t="str">
            <v>EGD-0310</v>
          </cell>
          <cell r="B311" t="str">
            <v>AUTO</v>
          </cell>
          <cell r="C311" t="str">
            <v>ALL</v>
          </cell>
        </row>
        <row r="312">
          <cell r="A312" t="str">
            <v>EGD-0311</v>
          </cell>
          <cell r="B312" t="str">
            <v>OBS1</v>
          </cell>
          <cell r="C312" t="str">
            <v>T2</v>
          </cell>
        </row>
        <row r="313">
          <cell r="A313" t="str">
            <v>EGD-0312</v>
          </cell>
          <cell r="B313" t="str">
            <v>AUTO</v>
          </cell>
          <cell r="C313" t="str">
            <v>ALL</v>
          </cell>
        </row>
        <row r="314">
          <cell r="A314" t="str">
            <v>EGD-0313</v>
          </cell>
          <cell r="B314" t="str">
            <v>OBS1</v>
          </cell>
          <cell r="C314" t="str">
            <v>FLAIR</v>
          </cell>
        </row>
        <row r="315">
          <cell r="A315" t="str">
            <v>EGD-0314</v>
          </cell>
          <cell r="B315" t="str">
            <v>OBS1</v>
          </cell>
          <cell r="C315" t="str">
            <v>T2</v>
          </cell>
        </row>
        <row r="316">
          <cell r="A316" t="str">
            <v>EGD-0315</v>
          </cell>
          <cell r="B316" t="str">
            <v>AUTO</v>
          </cell>
          <cell r="C316" t="str">
            <v>ALL</v>
          </cell>
        </row>
        <row r="317">
          <cell r="A317" t="str">
            <v>EGD-0316</v>
          </cell>
          <cell r="B317" t="str">
            <v>OBS1</v>
          </cell>
          <cell r="C317" t="str">
            <v>T2</v>
          </cell>
        </row>
        <row r="318">
          <cell r="A318" t="str">
            <v>EGD-0317</v>
          </cell>
          <cell r="B318" t="str">
            <v>AUTO</v>
          </cell>
          <cell r="C318" t="str">
            <v>ALL</v>
          </cell>
        </row>
        <row r="319">
          <cell r="A319" t="str">
            <v>EGD-0318</v>
          </cell>
          <cell r="B319" t="str">
            <v>OBS1</v>
          </cell>
          <cell r="C319" t="str">
            <v>T2</v>
          </cell>
        </row>
        <row r="320">
          <cell r="A320" t="str">
            <v>EGD-0319</v>
          </cell>
          <cell r="B320" t="str">
            <v>OBS1</v>
          </cell>
          <cell r="C320" t="str">
            <v>T2</v>
          </cell>
        </row>
        <row r="321">
          <cell r="A321" t="str">
            <v>EGD-0320</v>
          </cell>
          <cell r="B321" t="str">
            <v>OBS1</v>
          </cell>
          <cell r="C321" t="str">
            <v>T2</v>
          </cell>
        </row>
        <row r="322">
          <cell r="A322" t="str">
            <v>EGD-0321</v>
          </cell>
          <cell r="B322" t="str">
            <v>OBS1</v>
          </cell>
          <cell r="C322" t="str">
            <v>T2</v>
          </cell>
        </row>
        <row r="323">
          <cell r="A323" t="str">
            <v>EGD-0322</v>
          </cell>
          <cell r="B323" t="str">
            <v>OBS1</v>
          </cell>
          <cell r="C323" t="str">
            <v>FLAIR</v>
          </cell>
        </row>
        <row r="324">
          <cell r="A324" t="str">
            <v>EGD-0323</v>
          </cell>
          <cell r="B324" t="str">
            <v>OBS1</v>
          </cell>
          <cell r="C324" t="str">
            <v>T2</v>
          </cell>
        </row>
        <row r="325">
          <cell r="A325" t="str">
            <v>EGD-0324</v>
          </cell>
          <cell r="B325" t="str">
            <v>AUTO</v>
          </cell>
          <cell r="C325" t="str">
            <v>ALL</v>
          </cell>
        </row>
        <row r="326">
          <cell r="A326" t="str">
            <v>EGD-0325</v>
          </cell>
          <cell r="B326" t="str">
            <v>OBS1</v>
          </cell>
          <cell r="C326" t="str">
            <v>T2</v>
          </cell>
        </row>
        <row r="327">
          <cell r="A327" t="str">
            <v>EGD-0326</v>
          </cell>
          <cell r="B327" t="str">
            <v>AUTO</v>
          </cell>
          <cell r="C327" t="str">
            <v>ALL</v>
          </cell>
        </row>
        <row r="328">
          <cell r="A328" t="str">
            <v>EGD-0327</v>
          </cell>
          <cell r="B328" t="str">
            <v>AUTO</v>
          </cell>
          <cell r="C328" t="str">
            <v>ALL</v>
          </cell>
        </row>
        <row r="329">
          <cell r="A329" t="str">
            <v>EGD-0328</v>
          </cell>
          <cell r="B329" t="str">
            <v>OBS1</v>
          </cell>
          <cell r="C329" t="str">
            <v>T2</v>
          </cell>
        </row>
        <row r="330">
          <cell r="A330" t="str">
            <v>EGD-0329</v>
          </cell>
          <cell r="B330" t="str">
            <v>OBS1</v>
          </cell>
          <cell r="C330" t="str">
            <v>T2</v>
          </cell>
        </row>
        <row r="331">
          <cell r="A331" t="str">
            <v>EGD-0330</v>
          </cell>
          <cell r="B331" t="str">
            <v>OBS2</v>
          </cell>
          <cell r="C331" t="str">
            <v>FLAIR</v>
          </cell>
        </row>
        <row r="332">
          <cell r="A332" t="str">
            <v>EGD-0331</v>
          </cell>
          <cell r="B332" t="str">
            <v>OBS1</v>
          </cell>
          <cell r="C332" t="str">
            <v>T2</v>
          </cell>
        </row>
        <row r="333">
          <cell r="A333" t="str">
            <v>EGD-0332</v>
          </cell>
          <cell r="B333" t="str">
            <v>OBS1</v>
          </cell>
          <cell r="C333" t="str">
            <v>FLAIR</v>
          </cell>
        </row>
        <row r="334">
          <cell r="A334" t="str">
            <v>EGD-0333</v>
          </cell>
          <cell r="B334" t="str">
            <v>AUTO</v>
          </cell>
          <cell r="C334" t="str">
            <v>ALL</v>
          </cell>
        </row>
        <row r="335">
          <cell r="A335" t="str">
            <v>EGD-0334</v>
          </cell>
          <cell r="B335" t="str">
            <v>OBS1</v>
          </cell>
          <cell r="C335" t="str">
            <v>T2</v>
          </cell>
        </row>
        <row r="336">
          <cell r="A336" t="str">
            <v>EGD-0335</v>
          </cell>
          <cell r="B336" t="str">
            <v>AUTO</v>
          </cell>
          <cell r="C336" t="str">
            <v>ALL</v>
          </cell>
        </row>
        <row r="337">
          <cell r="A337" t="str">
            <v>EGD-0336</v>
          </cell>
          <cell r="B337" t="str">
            <v>OBS1</v>
          </cell>
          <cell r="C337" t="str">
            <v>FLAIR</v>
          </cell>
        </row>
        <row r="338">
          <cell r="A338" t="str">
            <v>EGD-0337</v>
          </cell>
          <cell r="B338" t="str">
            <v>AUTO</v>
          </cell>
          <cell r="C338" t="str">
            <v>ALL</v>
          </cell>
        </row>
        <row r="339">
          <cell r="A339" t="str">
            <v>EGD-0338</v>
          </cell>
          <cell r="B339" t="str">
            <v>OBS1</v>
          </cell>
          <cell r="C339" t="str">
            <v>T2</v>
          </cell>
        </row>
        <row r="340">
          <cell r="A340" t="str">
            <v>EGD-0339</v>
          </cell>
          <cell r="B340" t="str">
            <v>AUTO</v>
          </cell>
          <cell r="C340" t="str">
            <v>ALL</v>
          </cell>
        </row>
        <row r="341">
          <cell r="A341" t="str">
            <v>EGD-0340</v>
          </cell>
          <cell r="B341" t="str">
            <v>OBS2</v>
          </cell>
          <cell r="C341" t="str">
            <v>FLAIR</v>
          </cell>
        </row>
        <row r="342">
          <cell r="A342" t="str">
            <v>EGD-0341</v>
          </cell>
          <cell r="B342" t="str">
            <v>AUTO</v>
          </cell>
          <cell r="C342" t="str">
            <v>ALL</v>
          </cell>
        </row>
        <row r="343">
          <cell r="A343" t="str">
            <v>EGD-0342</v>
          </cell>
          <cell r="B343" t="str">
            <v>OBS1</v>
          </cell>
          <cell r="C343" t="str">
            <v>T2</v>
          </cell>
        </row>
        <row r="344">
          <cell r="A344" t="str">
            <v>EGD-0343</v>
          </cell>
          <cell r="B344" t="str">
            <v>AUTO</v>
          </cell>
          <cell r="C344" t="str">
            <v>ALL</v>
          </cell>
        </row>
        <row r="345">
          <cell r="A345" t="str">
            <v>EGD-0344</v>
          </cell>
          <cell r="B345" t="str">
            <v>OBS1</v>
          </cell>
          <cell r="C345" t="str">
            <v>T2</v>
          </cell>
        </row>
        <row r="346">
          <cell r="A346" t="str">
            <v>EGD-0345</v>
          </cell>
          <cell r="B346" t="str">
            <v>OBS1</v>
          </cell>
          <cell r="C346" t="str">
            <v>T2</v>
          </cell>
        </row>
        <row r="347">
          <cell r="A347" t="str">
            <v>EGD-0346</v>
          </cell>
          <cell r="B347" t="str">
            <v>OBS2</v>
          </cell>
          <cell r="C347" t="str">
            <v>FLAIR</v>
          </cell>
        </row>
        <row r="348">
          <cell r="A348" t="str">
            <v>EGD-0347</v>
          </cell>
          <cell r="B348" t="str">
            <v>AUTO</v>
          </cell>
          <cell r="C348" t="str">
            <v>ALL</v>
          </cell>
        </row>
        <row r="349">
          <cell r="A349" t="str">
            <v>EGD-0348</v>
          </cell>
          <cell r="B349" t="str">
            <v>AUTO</v>
          </cell>
          <cell r="C349" t="str">
            <v>ALL</v>
          </cell>
        </row>
        <row r="350">
          <cell r="A350" t="str">
            <v>EGD-0349</v>
          </cell>
          <cell r="B350" t="str">
            <v>OBS1</v>
          </cell>
          <cell r="C350" t="str">
            <v>T2</v>
          </cell>
        </row>
        <row r="351">
          <cell r="A351" t="str">
            <v>EGD-0350</v>
          </cell>
          <cell r="B351" t="str">
            <v>AUTO</v>
          </cell>
          <cell r="C351" t="str">
            <v>ALL</v>
          </cell>
        </row>
        <row r="352">
          <cell r="A352" t="str">
            <v>EGD-0351</v>
          </cell>
          <cell r="B352" t="str">
            <v>AUTO</v>
          </cell>
          <cell r="C352" t="str">
            <v>ALL</v>
          </cell>
        </row>
        <row r="353">
          <cell r="A353" t="str">
            <v>EGD-0352</v>
          </cell>
          <cell r="B353" t="str">
            <v>AUTO</v>
          </cell>
          <cell r="C353" t="str">
            <v>ALL</v>
          </cell>
        </row>
        <row r="354">
          <cell r="A354" t="str">
            <v>EGD-0353</v>
          </cell>
          <cell r="B354" t="str">
            <v>OBS1</v>
          </cell>
          <cell r="C354" t="str">
            <v>T2</v>
          </cell>
        </row>
        <row r="355">
          <cell r="A355" t="str">
            <v>EGD-0354</v>
          </cell>
          <cell r="B355" t="str">
            <v>OBS1</v>
          </cell>
          <cell r="C355" t="str">
            <v>T2</v>
          </cell>
        </row>
        <row r="356">
          <cell r="A356" t="str">
            <v>EGD-0355</v>
          </cell>
          <cell r="B356" t="str">
            <v>OBS2</v>
          </cell>
          <cell r="C356" t="str">
            <v>FLAIR</v>
          </cell>
        </row>
        <row r="357">
          <cell r="A357" t="str">
            <v>EGD-0356</v>
          </cell>
          <cell r="B357" t="str">
            <v>OBS2</v>
          </cell>
          <cell r="C357" t="str">
            <v>FLAIR</v>
          </cell>
        </row>
        <row r="358">
          <cell r="A358" t="str">
            <v>EGD-0357</v>
          </cell>
          <cell r="B358" t="str">
            <v>OBS1</v>
          </cell>
          <cell r="C358" t="str">
            <v>T2</v>
          </cell>
        </row>
        <row r="359">
          <cell r="A359" t="str">
            <v>EGD-0358</v>
          </cell>
          <cell r="B359" t="str">
            <v>OBS1</v>
          </cell>
          <cell r="C359" t="str">
            <v>T2</v>
          </cell>
        </row>
        <row r="360">
          <cell r="A360" t="str">
            <v>EGD-0359</v>
          </cell>
          <cell r="B360" t="str">
            <v>AUTO</v>
          </cell>
          <cell r="C360" t="str">
            <v>ALL</v>
          </cell>
        </row>
        <row r="361">
          <cell r="A361" t="str">
            <v>EGD-0360</v>
          </cell>
          <cell r="B361" t="str">
            <v>AUTO</v>
          </cell>
          <cell r="C361" t="str">
            <v>ALL</v>
          </cell>
        </row>
        <row r="362">
          <cell r="A362" t="str">
            <v>EGD-0361</v>
          </cell>
          <cell r="B362" t="str">
            <v>AUTO</v>
          </cell>
          <cell r="C362" t="str">
            <v>ALL</v>
          </cell>
        </row>
        <row r="363">
          <cell r="A363" t="str">
            <v>EGD-0362</v>
          </cell>
          <cell r="B363" t="str">
            <v>OBS1</v>
          </cell>
          <cell r="C363" t="str">
            <v>T2</v>
          </cell>
        </row>
        <row r="364">
          <cell r="A364" t="str">
            <v>EGD-0363</v>
          </cell>
          <cell r="B364" t="str">
            <v>OBS1</v>
          </cell>
          <cell r="C364" t="str">
            <v>FLAIR</v>
          </cell>
        </row>
        <row r="365">
          <cell r="A365" t="str">
            <v>EGD-0364</v>
          </cell>
          <cell r="B365" t="str">
            <v>AUTO</v>
          </cell>
          <cell r="C365" t="str">
            <v>ALL</v>
          </cell>
        </row>
        <row r="366">
          <cell r="A366" t="str">
            <v>EGD-0365</v>
          </cell>
          <cell r="B366" t="str">
            <v>AUTO</v>
          </cell>
          <cell r="C366" t="str">
            <v>ALL</v>
          </cell>
        </row>
        <row r="367">
          <cell r="A367" t="str">
            <v>EGD-0366</v>
          </cell>
          <cell r="B367" t="str">
            <v>AUTO</v>
          </cell>
          <cell r="C367" t="str">
            <v>ALL</v>
          </cell>
        </row>
        <row r="368">
          <cell r="A368" t="str">
            <v>EGD-0367</v>
          </cell>
          <cell r="B368" t="str">
            <v>OBS1</v>
          </cell>
          <cell r="C368" t="str">
            <v>T2</v>
          </cell>
        </row>
        <row r="369">
          <cell r="A369" t="str">
            <v>EGD-0368</v>
          </cell>
          <cell r="B369" t="str">
            <v>OBS1</v>
          </cell>
          <cell r="C369" t="str">
            <v>T2</v>
          </cell>
        </row>
        <row r="370">
          <cell r="A370" t="str">
            <v>EGD-0369</v>
          </cell>
          <cell r="B370" t="str">
            <v>AUTO</v>
          </cell>
          <cell r="C370" t="str">
            <v>ALL</v>
          </cell>
        </row>
        <row r="371">
          <cell r="A371" t="str">
            <v>EGD-0370</v>
          </cell>
          <cell r="B371" t="str">
            <v>OBS1</v>
          </cell>
          <cell r="C371" t="str">
            <v>FLAIR</v>
          </cell>
        </row>
        <row r="372">
          <cell r="A372" t="str">
            <v>EGD-0371</v>
          </cell>
          <cell r="B372" t="str">
            <v>AUTO</v>
          </cell>
          <cell r="C372" t="str">
            <v>ALL</v>
          </cell>
        </row>
        <row r="373">
          <cell r="A373" t="str">
            <v>EGD-0372</v>
          </cell>
          <cell r="B373" t="str">
            <v>AUTO</v>
          </cell>
          <cell r="C373" t="str">
            <v>ALL</v>
          </cell>
        </row>
        <row r="374">
          <cell r="A374" t="str">
            <v>EGD-0373</v>
          </cell>
          <cell r="B374" t="str">
            <v>AUTO</v>
          </cell>
          <cell r="C374" t="str">
            <v>ALL</v>
          </cell>
        </row>
        <row r="375">
          <cell r="A375" t="str">
            <v>EGD-0374</v>
          </cell>
          <cell r="B375" t="str">
            <v>AUTO</v>
          </cell>
          <cell r="C375" t="str">
            <v>ALL</v>
          </cell>
        </row>
        <row r="376">
          <cell r="A376" t="str">
            <v>EGD-0375</v>
          </cell>
          <cell r="B376" t="str">
            <v>OBS1</v>
          </cell>
          <cell r="C376" t="str">
            <v>T2</v>
          </cell>
        </row>
        <row r="377">
          <cell r="A377" t="str">
            <v>EGD-0376</v>
          </cell>
          <cell r="B377" t="str">
            <v>AUTO</v>
          </cell>
          <cell r="C377" t="str">
            <v>ALL</v>
          </cell>
        </row>
        <row r="378">
          <cell r="A378" t="str">
            <v>EGD-0377</v>
          </cell>
          <cell r="B378" t="str">
            <v>OBS1</v>
          </cell>
          <cell r="C378" t="str">
            <v>FLAIR</v>
          </cell>
        </row>
        <row r="379">
          <cell r="A379" t="str">
            <v>EGD-0378</v>
          </cell>
          <cell r="B379" t="str">
            <v>OBS2</v>
          </cell>
          <cell r="C379" t="str">
            <v>FLAIR</v>
          </cell>
        </row>
        <row r="380">
          <cell r="A380" t="str">
            <v>EGD-0379</v>
          </cell>
          <cell r="B380" t="str">
            <v>AUTO</v>
          </cell>
          <cell r="C380" t="str">
            <v>ALL</v>
          </cell>
        </row>
        <row r="381">
          <cell r="A381" t="str">
            <v>EGD-0380</v>
          </cell>
          <cell r="B381" t="str">
            <v>OBS1</v>
          </cell>
          <cell r="C381" t="str">
            <v>T2</v>
          </cell>
        </row>
        <row r="382">
          <cell r="A382" t="str">
            <v>EGD-0381</v>
          </cell>
          <cell r="B382" t="str">
            <v>OBS1</v>
          </cell>
          <cell r="C382" t="str">
            <v>T2</v>
          </cell>
        </row>
        <row r="383">
          <cell r="A383" t="str">
            <v>EGD-0382</v>
          </cell>
          <cell r="B383" t="str">
            <v>OBS1</v>
          </cell>
          <cell r="C383" t="str">
            <v>T2</v>
          </cell>
        </row>
        <row r="384">
          <cell r="A384" t="str">
            <v>EGD-0383</v>
          </cell>
          <cell r="B384" t="str">
            <v>OBS1</v>
          </cell>
          <cell r="C384" t="str">
            <v>T2</v>
          </cell>
        </row>
        <row r="385">
          <cell r="A385" t="str">
            <v>EGD-0384</v>
          </cell>
          <cell r="B385" t="str">
            <v>AUTO</v>
          </cell>
          <cell r="C385" t="str">
            <v>ALL</v>
          </cell>
        </row>
        <row r="386">
          <cell r="A386" t="str">
            <v>EGD-0385</v>
          </cell>
          <cell r="B386" t="str">
            <v>OBS2</v>
          </cell>
          <cell r="C386" t="str">
            <v>FLAIR</v>
          </cell>
        </row>
        <row r="387">
          <cell r="A387" t="str">
            <v>EGD-0386</v>
          </cell>
          <cell r="B387" t="str">
            <v>AUTO</v>
          </cell>
          <cell r="C387" t="str">
            <v>ALL</v>
          </cell>
        </row>
        <row r="388">
          <cell r="A388" t="str">
            <v>EGD-0387</v>
          </cell>
          <cell r="B388" t="str">
            <v>OBS2</v>
          </cell>
          <cell r="C388" t="str">
            <v>FLAIR</v>
          </cell>
        </row>
        <row r="389">
          <cell r="A389" t="str">
            <v>EGD-0388</v>
          </cell>
          <cell r="B389" t="str">
            <v>OBS1</v>
          </cell>
          <cell r="C389" t="str">
            <v>T2</v>
          </cell>
        </row>
        <row r="390">
          <cell r="A390" t="str">
            <v>EGD-0389</v>
          </cell>
          <cell r="B390" t="str">
            <v>OBS1</v>
          </cell>
          <cell r="C390" t="str">
            <v>T2</v>
          </cell>
        </row>
        <row r="391">
          <cell r="A391" t="str">
            <v>EGD-0390</v>
          </cell>
          <cell r="B391" t="str">
            <v>AUTO</v>
          </cell>
          <cell r="C391" t="str">
            <v>ALL</v>
          </cell>
        </row>
        <row r="392">
          <cell r="A392" t="str">
            <v>EGD-0391</v>
          </cell>
          <cell r="B392" t="str">
            <v>OBS1</v>
          </cell>
          <cell r="C392" t="str">
            <v>T2</v>
          </cell>
        </row>
        <row r="393">
          <cell r="A393" t="str">
            <v>EGD-0392</v>
          </cell>
          <cell r="B393" t="str">
            <v>OBS1</v>
          </cell>
          <cell r="C393" t="str">
            <v>T2</v>
          </cell>
        </row>
        <row r="394">
          <cell r="A394" t="str">
            <v>EGD-0393</v>
          </cell>
          <cell r="B394" t="str">
            <v>AUTO</v>
          </cell>
          <cell r="C394" t="str">
            <v>ALL</v>
          </cell>
        </row>
        <row r="395">
          <cell r="A395" t="str">
            <v>EGD-0394</v>
          </cell>
          <cell r="B395" t="str">
            <v>OBS1</v>
          </cell>
          <cell r="C395" t="str">
            <v>T2</v>
          </cell>
        </row>
        <row r="396">
          <cell r="A396" t="str">
            <v>EGD-0395</v>
          </cell>
          <cell r="B396" t="str">
            <v>OBS1</v>
          </cell>
          <cell r="C396" t="str">
            <v>T2</v>
          </cell>
        </row>
        <row r="397">
          <cell r="A397" t="str">
            <v>EGD-0396</v>
          </cell>
          <cell r="B397" t="str">
            <v>AUTO</v>
          </cell>
          <cell r="C397" t="str">
            <v>ALL</v>
          </cell>
        </row>
        <row r="398">
          <cell r="A398" t="str">
            <v>EGD-0397</v>
          </cell>
          <cell r="B398" t="str">
            <v>AUTO</v>
          </cell>
          <cell r="C398" t="str">
            <v>ALL</v>
          </cell>
        </row>
        <row r="399">
          <cell r="A399" t="str">
            <v>EGD-0398</v>
          </cell>
          <cell r="B399" t="str">
            <v>AUTO</v>
          </cell>
          <cell r="C399" t="str">
            <v>ALL</v>
          </cell>
        </row>
        <row r="400">
          <cell r="A400" t="str">
            <v>EGD-0399</v>
          </cell>
          <cell r="B400" t="str">
            <v>AUTO</v>
          </cell>
          <cell r="C400" t="str">
            <v>ALL</v>
          </cell>
        </row>
        <row r="401">
          <cell r="A401" t="str">
            <v>EGD-0400</v>
          </cell>
          <cell r="B401" t="str">
            <v>OBS1</v>
          </cell>
          <cell r="C401" t="str">
            <v>T2</v>
          </cell>
        </row>
        <row r="402">
          <cell r="A402" t="str">
            <v>EGD-0401</v>
          </cell>
          <cell r="B402" t="str">
            <v>AUTO</v>
          </cell>
          <cell r="C402" t="str">
            <v>ALL</v>
          </cell>
        </row>
        <row r="403">
          <cell r="A403" t="str">
            <v>EGD-0402</v>
          </cell>
          <cell r="B403" t="str">
            <v>AUTO</v>
          </cell>
          <cell r="C403" t="str">
            <v>ALL</v>
          </cell>
        </row>
        <row r="404">
          <cell r="A404" t="str">
            <v>EGD-0403</v>
          </cell>
          <cell r="B404" t="str">
            <v>OBS2</v>
          </cell>
          <cell r="C404" t="str">
            <v>T2</v>
          </cell>
        </row>
        <row r="405">
          <cell r="A405" t="str">
            <v>EGD-0404</v>
          </cell>
          <cell r="B405" t="str">
            <v>AUTO</v>
          </cell>
          <cell r="C405" t="str">
            <v>ALL</v>
          </cell>
        </row>
        <row r="406">
          <cell r="A406" t="str">
            <v>EGD-0405</v>
          </cell>
          <cell r="B406" t="str">
            <v>OBS1</v>
          </cell>
          <cell r="C406" t="str">
            <v>T2</v>
          </cell>
        </row>
        <row r="407">
          <cell r="A407" t="str">
            <v>EGD-0406</v>
          </cell>
          <cell r="B407" t="str">
            <v>OBS1</v>
          </cell>
          <cell r="C407" t="str">
            <v>T2</v>
          </cell>
        </row>
        <row r="408">
          <cell r="A408" t="str">
            <v>EGD-0407</v>
          </cell>
          <cell r="B408" t="str">
            <v>OBS1</v>
          </cell>
          <cell r="C408" t="str">
            <v>FLAIR</v>
          </cell>
        </row>
        <row r="409">
          <cell r="A409" t="str">
            <v>EGD-0408</v>
          </cell>
          <cell r="B409" t="str">
            <v>AUTO</v>
          </cell>
          <cell r="C409" t="str">
            <v>ALL</v>
          </cell>
        </row>
        <row r="410">
          <cell r="A410" t="str">
            <v>EGD-0409</v>
          </cell>
          <cell r="B410" t="str">
            <v>AUTO</v>
          </cell>
          <cell r="C410" t="str">
            <v>ALL</v>
          </cell>
        </row>
        <row r="411">
          <cell r="A411" t="str">
            <v>EGD-0410</v>
          </cell>
          <cell r="B411" t="str">
            <v>AUTO</v>
          </cell>
          <cell r="C411" t="str">
            <v>ALL</v>
          </cell>
        </row>
        <row r="412">
          <cell r="A412" t="str">
            <v>EGD-0411</v>
          </cell>
          <cell r="B412" t="str">
            <v>OBS2</v>
          </cell>
          <cell r="C412" t="str">
            <v>FLAIR</v>
          </cell>
        </row>
        <row r="413">
          <cell r="A413" t="str">
            <v>EGD-0412</v>
          </cell>
          <cell r="B413" t="str">
            <v>OBS1</v>
          </cell>
          <cell r="C413" t="str">
            <v>FLAIR</v>
          </cell>
        </row>
        <row r="414">
          <cell r="A414" t="str">
            <v>EGD-0413</v>
          </cell>
          <cell r="B414" t="str">
            <v>OBS2</v>
          </cell>
          <cell r="C414" t="str">
            <v>FLAIR</v>
          </cell>
        </row>
        <row r="415">
          <cell r="A415" t="str">
            <v>EGD-0414</v>
          </cell>
          <cell r="B415" t="str">
            <v>OBS1</v>
          </cell>
          <cell r="C415" t="str">
            <v>T2</v>
          </cell>
        </row>
        <row r="416">
          <cell r="A416" t="str">
            <v>EGD-0415</v>
          </cell>
          <cell r="B416" t="str">
            <v>OBS2</v>
          </cell>
          <cell r="C416" t="str">
            <v>FLAIR</v>
          </cell>
        </row>
        <row r="417">
          <cell r="A417" t="str">
            <v>EGD-0416</v>
          </cell>
          <cell r="B417" t="str">
            <v>OBS2</v>
          </cell>
          <cell r="C417" t="str">
            <v>FLAIR</v>
          </cell>
        </row>
        <row r="418">
          <cell r="A418" t="str">
            <v>EGD-0417</v>
          </cell>
          <cell r="B418" t="str">
            <v>OBS1</v>
          </cell>
          <cell r="C418" t="str">
            <v>T2</v>
          </cell>
        </row>
        <row r="419">
          <cell r="A419" t="str">
            <v>EGD-0418</v>
          </cell>
          <cell r="B419" t="str">
            <v>OBS1</v>
          </cell>
          <cell r="C419" t="str">
            <v>T2</v>
          </cell>
        </row>
        <row r="420">
          <cell r="A420" t="str">
            <v>EGD-0419</v>
          </cell>
          <cell r="B420" t="str">
            <v>AUTO</v>
          </cell>
          <cell r="C420" t="str">
            <v>ALL</v>
          </cell>
        </row>
        <row r="421">
          <cell r="A421" t="str">
            <v>EGD-0420</v>
          </cell>
          <cell r="B421" t="str">
            <v>OBS2</v>
          </cell>
          <cell r="C421" t="str">
            <v>FLAIR</v>
          </cell>
        </row>
        <row r="422">
          <cell r="A422" t="str">
            <v>EGD-0421</v>
          </cell>
          <cell r="B422" t="str">
            <v>AUTO</v>
          </cell>
          <cell r="C422" t="str">
            <v>ALL</v>
          </cell>
        </row>
        <row r="423">
          <cell r="A423" t="str">
            <v>EGD-0422</v>
          </cell>
          <cell r="B423" t="str">
            <v>AUTO</v>
          </cell>
          <cell r="C423" t="str">
            <v>ALL</v>
          </cell>
        </row>
        <row r="424">
          <cell r="A424" t="str">
            <v>EGD-0423</v>
          </cell>
          <cell r="B424" t="str">
            <v>OBS1</v>
          </cell>
          <cell r="C424" t="str">
            <v>FLAIR</v>
          </cell>
        </row>
        <row r="425">
          <cell r="A425" t="str">
            <v>EGD-0424</v>
          </cell>
          <cell r="B425" t="str">
            <v>OBS1</v>
          </cell>
          <cell r="C425" t="str">
            <v>T2</v>
          </cell>
        </row>
        <row r="426">
          <cell r="A426" t="str">
            <v>EGD-0425</v>
          </cell>
          <cell r="B426" t="str">
            <v>OBS1</v>
          </cell>
          <cell r="C426" t="str">
            <v>T2</v>
          </cell>
        </row>
        <row r="427">
          <cell r="A427" t="str">
            <v>EGD-0426</v>
          </cell>
          <cell r="B427" t="str">
            <v>AUTO</v>
          </cell>
          <cell r="C427" t="str">
            <v>ALL</v>
          </cell>
        </row>
        <row r="428">
          <cell r="A428" t="str">
            <v>EGD-0427</v>
          </cell>
          <cell r="B428" t="str">
            <v>OBS1</v>
          </cell>
          <cell r="C428" t="str">
            <v>T2</v>
          </cell>
        </row>
        <row r="429">
          <cell r="A429" t="str">
            <v>EGD-0428</v>
          </cell>
          <cell r="B429" t="str">
            <v>OBS2</v>
          </cell>
          <cell r="C429" t="str">
            <v>FLAIR</v>
          </cell>
        </row>
        <row r="430">
          <cell r="A430" t="str">
            <v>EGD-0429</v>
          </cell>
          <cell r="B430" t="str">
            <v>AUTO</v>
          </cell>
          <cell r="C430" t="str">
            <v>ALL</v>
          </cell>
        </row>
        <row r="431">
          <cell r="A431" t="str">
            <v>EGD-0430</v>
          </cell>
          <cell r="B431" t="str">
            <v>OBS1</v>
          </cell>
          <cell r="C431" t="str">
            <v>FLAIR</v>
          </cell>
        </row>
        <row r="432">
          <cell r="A432" t="str">
            <v>EGD-0431</v>
          </cell>
          <cell r="B432" t="str">
            <v>OBS1</v>
          </cell>
          <cell r="C432" t="str">
            <v>T2</v>
          </cell>
        </row>
        <row r="433">
          <cell r="A433" t="str">
            <v>EGD-0432</v>
          </cell>
          <cell r="B433" t="str">
            <v>OBS1</v>
          </cell>
          <cell r="C433" t="str">
            <v>FLAIR</v>
          </cell>
        </row>
        <row r="434">
          <cell r="A434" t="str">
            <v>EGD-0433</v>
          </cell>
          <cell r="B434" t="str">
            <v>OBS1</v>
          </cell>
          <cell r="C434" t="str">
            <v>T2</v>
          </cell>
        </row>
        <row r="435">
          <cell r="A435" t="str">
            <v>EGD-0434</v>
          </cell>
          <cell r="B435" t="str">
            <v>OBS1</v>
          </cell>
          <cell r="C435" t="str">
            <v>FLAIR</v>
          </cell>
        </row>
        <row r="436">
          <cell r="A436" t="str">
            <v>EGD-0435</v>
          </cell>
          <cell r="B436" t="str">
            <v>AUTO</v>
          </cell>
          <cell r="C436" t="str">
            <v>ALL</v>
          </cell>
        </row>
        <row r="437">
          <cell r="A437" t="str">
            <v>EGD-0436</v>
          </cell>
          <cell r="B437" t="str">
            <v>AUTO</v>
          </cell>
          <cell r="C437" t="str">
            <v>ALL</v>
          </cell>
        </row>
        <row r="438">
          <cell r="A438" t="str">
            <v>EGD-0437</v>
          </cell>
          <cell r="B438" t="str">
            <v>AUTO</v>
          </cell>
          <cell r="C438" t="str">
            <v>ALL</v>
          </cell>
        </row>
        <row r="439">
          <cell r="A439" t="str">
            <v>EGD-0438</v>
          </cell>
          <cell r="B439" t="str">
            <v>AUTO</v>
          </cell>
          <cell r="C439" t="str">
            <v>ALL</v>
          </cell>
        </row>
        <row r="440">
          <cell r="A440" t="str">
            <v>EGD-0439</v>
          </cell>
          <cell r="B440" t="str">
            <v>OBS1</v>
          </cell>
          <cell r="C440" t="str">
            <v>FLAIR</v>
          </cell>
        </row>
        <row r="441">
          <cell r="A441" t="str">
            <v>EGD-0440</v>
          </cell>
          <cell r="B441" t="str">
            <v>OBS1</v>
          </cell>
          <cell r="C441" t="str">
            <v>T2</v>
          </cell>
        </row>
        <row r="442">
          <cell r="A442" t="str">
            <v>EGD-0441</v>
          </cell>
          <cell r="B442" t="str">
            <v>AUTO</v>
          </cell>
          <cell r="C442" t="str">
            <v>ALL</v>
          </cell>
        </row>
        <row r="443">
          <cell r="A443" t="str">
            <v>EGD-0442</v>
          </cell>
          <cell r="B443" t="str">
            <v>OBS1</v>
          </cell>
          <cell r="C443" t="str">
            <v>FLAIR</v>
          </cell>
        </row>
        <row r="444">
          <cell r="A444" t="str">
            <v>EGD-0443</v>
          </cell>
          <cell r="B444" t="str">
            <v>AUTO</v>
          </cell>
          <cell r="C444" t="str">
            <v>ALL</v>
          </cell>
        </row>
        <row r="445">
          <cell r="A445" t="str">
            <v>EGD-0444</v>
          </cell>
          <cell r="B445" t="str">
            <v>AUTO</v>
          </cell>
          <cell r="C445" t="str">
            <v>ALL</v>
          </cell>
        </row>
        <row r="446">
          <cell r="A446" t="str">
            <v>EGD-0445</v>
          </cell>
          <cell r="B446" t="str">
            <v>OBS1</v>
          </cell>
          <cell r="C446" t="str">
            <v>T2</v>
          </cell>
        </row>
        <row r="447">
          <cell r="A447" t="str">
            <v>EGD-0446</v>
          </cell>
          <cell r="B447" t="str">
            <v>AUTO</v>
          </cell>
          <cell r="C447" t="str">
            <v>ALL</v>
          </cell>
        </row>
        <row r="448">
          <cell r="A448" t="str">
            <v>EGD-0447</v>
          </cell>
          <cell r="B448" t="str">
            <v>AUTO</v>
          </cell>
          <cell r="C448" t="str">
            <v>ALL</v>
          </cell>
        </row>
        <row r="449">
          <cell r="A449" t="str">
            <v>EGD-0448</v>
          </cell>
          <cell r="B449" t="str">
            <v>OBS1</v>
          </cell>
          <cell r="C449" t="str">
            <v>FLAIR</v>
          </cell>
        </row>
        <row r="450">
          <cell r="A450" t="str">
            <v>EGD-0449</v>
          </cell>
          <cell r="B450" t="str">
            <v>OBS1</v>
          </cell>
          <cell r="C450" t="str">
            <v>T2</v>
          </cell>
        </row>
        <row r="451">
          <cell r="A451" t="str">
            <v>EGD-0450</v>
          </cell>
          <cell r="B451" t="str">
            <v>AUTO</v>
          </cell>
          <cell r="C451" t="str">
            <v>ALL</v>
          </cell>
        </row>
        <row r="452">
          <cell r="A452" t="str">
            <v>EGD-0451</v>
          </cell>
          <cell r="B452" t="str">
            <v>OBS1</v>
          </cell>
          <cell r="C452" t="str">
            <v>T2</v>
          </cell>
        </row>
        <row r="453">
          <cell r="A453" t="str">
            <v>EGD-0452</v>
          </cell>
          <cell r="B453" t="str">
            <v>AUTO</v>
          </cell>
          <cell r="C453" t="str">
            <v>ALL</v>
          </cell>
        </row>
        <row r="454">
          <cell r="A454" t="str">
            <v>EGD-0453</v>
          </cell>
          <cell r="B454" t="str">
            <v>OBS2</v>
          </cell>
          <cell r="C454" t="str">
            <v>FLAIR</v>
          </cell>
        </row>
        <row r="455">
          <cell r="A455" t="str">
            <v>EGD-0454</v>
          </cell>
          <cell r="B455" t="str">
            <v>AUTO</v>
          </cell>
          <cell r="C455" t="str">
            <v>ALL</v>
          </cell>
        </row>
        <row r="456">
          <cell r="A456" t="str">
            <v>EGD-0455</v>
          </cell>
          <cell r="B456" t="str">
            <v>AUTO</v>
          </cell>
          <cell r="C456" t="str">
            <v>ALL</v>
          </cell>
        </row>
        <row r="457">
          <cell r="A457" t="str">
            <v>EGD-0456</v>
          </cell>
          <cell r="B457" t="str">
            <v>AUTO</v>
          </cell>
          <cell r="C457" t="str">
            <v>ALL</v>
          </cell>
        </row>
        <row r="458">
          <cell r="A458" t="str">
            <v>EGD-0457</v>
          </cell>
          <cell r="B458" t="str">
            <v>AUTO</v>
          </cell>
          <cell r="C458" t="str">
            <v>ALL</v>
          </cell>
        </row>
        <row r="459">
          <cell r="A459" t="str">
            <v>EGD-0458</v>
          </cell>
          <cell r="B459" t="str">
            <v>AUTO</v>
          </cell>
          <cell r="C459" t="str">
            <v>ALL</v>
          </cell>
        </row>
        <row r="460">
          <cell r="A460" t="str">
            <v>EGD-0459</v>
          </cell>
          <cell r="B460" t="str">
            <v>AUTO</v>
          </cell>
          <cell r="C460" t="str">
            <v>ALL</v>
          </cell>
        </row>
        <row r="461">
          <cell r="A461" t="str">
            <v>EGD-0460</v>
          </cell>
          <cell r="B461" t="str">
            <v>AUTO</v>
          </cell>
          <cell r="C461" t="str">
            <v>ALL</v>
          </cell>
        </row>
        <row r="462">
          <cell r="A462" t="str">
            <v>EGD-0461</v>
          </cell>
          <cell r="B462" t="str">
            <v>AUTO</v>
          </cell>
          <cell r="C462" t="str">
            <v>ALL</v>
          </cell>
        </row>
        <row r="463">
          <cell r="A463" t="str">
            <v>EGD-0462</v>
          </cell>
          <cell r="B463" t="str">
            <v>AUTO</v>
          </cell>
          <cell r="C463" t="str">
            <v>ALL</v>
          </cell>
        </row>
        <row r="464">
          <cell r="A464" t="str">
            <v>EGD-0463</v>
          </cell>
          <cell r="B464" t="str">
            <v>OBS1</v>
          </cell>
          <cell r="C464" t="str">
            <v>T2</v>
          </cell>
        </row>
        <row r="465">
          <cell r="A465" t="str">
            <v>EGD-0464</v>
          </cell>
          <cell r="B465" t="str">
            <v>AUTO</v>
          </cell>
          <cell r="C465" t="str">
            <v>ALL</v>
          </cell>
        </row>
        <row r="466">
          <cell r="A466" t="str">
            <v>EGD-0465</v>
          </cell>
          <cell r="B466" t="str">
            <v>AUTO</v>
          </cell>
          <cell r="C466" t="str">
            <v>ALL</v>
          </cell>
        </row>
        <row r="467">
          <cell r="A467" t="str">
            <v>EGD-0466</v>
          </cell>
          <cell r="B467" t="str">
            <v>OBS2</v>
          </cell>
          <cell r="C467" t="str">
            <v>T2</v>
          </cell>
        </row>
        <row r="468">
          <cell r="A468" t="str">
            <v>EGD-0467</v>
          </cell>
          <cell r="B468" t="str">
            <v>AUTO</v>
          </cell>
          <cell r="C468" t="str">
            <v>ALL</v>
          </cell>
        </row>
        <row r="469">
          <cell r="A469" t="str">
            <v>EGD-0468</v>
          </cell>
          <cell r="B469" t="str">
            <v>AUTO</v>
          </cell>
          <cell r="C469" t="str">
            <v>ALL</v>
          </cell>
        </row>
        <row r="470">
          <cell r="A470" t="str">
            <v>EGD-0469</v>
          </cell>
          <cell r="B470" t="str">
            <v>OBS1</v>
          </cell>
          <cell r="C470" t="str">
            <v>FLAIR</v>
          </cell>
        </row>
        <row r="471">
          <cell r="A471" t="str">
            <v>EGD-0470</v>
          </cell>
          <cell r="B471" t="str">
            <v>AUTO</v>
          </cell>
          <cell r="C471" t="str">
            <v>ALL</v>
          </cell>
        </row>
        <row r="472">
          <cell r="A472" t="str">
            <v>EGD-0471</v>
          </cell>
          <cell r="B472" t="str">
            <v>AUTO</v>
          </cell>
          <cell r="C472" t="str">
            <v>ALL</v>
          </cell>
        </row>
        <row r="473">
          <cell r="A473" t="str">
            <v>EGD-0472</v>
          </cell>
          <cell r="B473" t="str">
            <v>AUTO</v>
          </cell>
          <cell r="C473" t="str">
            <v>ALL</v>
          </cell>
        </row>
        <row r="474">
          <cell r="A474" t="str">
            <v>EGD-0473</v>
          </cell>
          <cell r="B474" t="str">
            <v>OBS1</v>
          </cell>
          <cell r="C474" t="str">
            <v>T2</v>
          </cell>
        </row>
        <row r="475">
          <cell r="A475" t="str">
            <v>EGD-0474</v>
          </cell>
          <cell r="B475" t="str">
            <v>AUTO</v>
          </cell>
          <cell r="C475" t="str">
            <v>ALL</v>
          </cell>
        </row>
        <row r="476">
          <cell r="A476" t="str">
            <v>EGD-0475</v>
          </cell>
          <cell r="B476" t="str">
            <v>AUTO</v>
          </cell>
          <cell r="C476" t="str">
            <v>ALL</v>
          </cell>
        </row>
        <row r="477">
          <cell r="A477" t="str">
            <v>EGD-0476</v>
          </cell>
          <cell r="B477" t="str">
            <v>AUTO</v>
          </cell>
          <cell r="C477" t="str">
            <v>ALL</v>
          </cell>
        </row>
        <row r="478">
          <cell r="A478" t="str">
            <v>EGD-0477</v>
          </cell>
          <cell r="B478" t="str">
            <v>AUTO</v>
          </cell>
          <cell r="C478" t="str">
            <v>ALL</v>
          </cell>
        </row>
        <row r="479">
          <cell r="A479" t="str">
            <v>EGD-0478</v>
          </cell>
          <cell r="B479" t="str">
            <v>AUTO</v>
          </cell>
          <cell r="C479" t="str">
            <v>ALL</v>
          </cell>
        </row>
        <row r="480">
          <cell r="A480" t="str">
            <v>EGD-0479</v>
          </cell>
          <cell r="B480" t="str">
            <v>OBS1</v>
          </cell>
          <cell r="C480" t="str">
            <v>T2</v>
          </cell>
        </row>
        <row r="481">
          <cell r="A481" t="str">
            <v>EGD-0480</v>
          </cell>
          <cell r="B481" t="str">
            <v>OBS1</v>
          </cell>
          <cell r="C481" t="str">
            <v>FLAIR</v>
          </cell>
        </row>
        <row r="482">
          <cell r="A482" t="str">
            <v>EGD-0481</v>
          </cell>
          <cell r="B482" t="str">
            <v>AUTO</v>
          </cell>
          <cell r="C482" t="str">
            <v>ALL</v>
          </cell>
        </row>
        <row r="483">
          <cell r="A483" t="str">
            <v>EGD-0482</v>
          </cell>
          <cell r="B483" t="str">
            <v>OBS1</v>
          </cell>
          <cell r="C483" t="str">
            <v>T2</v>
          </cell>
        </row>
        <row r="484">
          <cell r="A484" t="str">
            <v>EGD-0483</v>
          </cell>
          <cell r="B484" t="str">
            <v>OBS1</v>
          </cell>
          <cell r="C484" t="str">
            <v>T2</v>
          </cell>
        </row>
        <row r="485">
          <cell r="A485" t="str">
            <v>EGD-0484</v>
          </cell>
          <cell r="B485" t="str">
            <v>OBS1</v>
          </cell>
          <cell r="C485" t="str">
            <v>T2</v>
          </cell>
        </row>
        <row r="486">
          <cell r="A486" t="str">
            <v>EGD-0485</v>
          </cell>
          <cell r="B486" t="str">
            <v>AUTO</v>
          </cell>
          <cell r="C486" t="str">
            <v>ALL</v>
          </cell>
        </row>
        <row r="487">
          <cell r="A487" t="str">
            <v>EGD-0486</v>
          </cell>
          <cell r="B487" t="str">
            <v>AUTO</v>
          </cell>
          <cell r="C487" t="str">
            <v>ALL</v>
          </cell>
        </row>
        <row r="488">
          <cell r="A488" t="str">
            <v>EGD-0487</v>
          </cell>
          <cell r="B488" t="str">
            <v>AUTO</v>
          </cell>
          <cell r="C488" t="str">
            <v>ALL</v>
          </cell>
        </row>
        <row r="489">
          <cell r="A489" t="str">
            <v>EGD-0488</v>
          </cell>
          <cell r="B489" t="str">
            <v>AUTO</v>
          </cell>
          <cell r="C489" t="str">
            <v>ALL</v>
          </cell>
        </row>
        <row r="490">
          <cell r="A490" t="str">
            <v>EGD-0489</v>
          </cell>
          <cell r="B490" t="str">
            <v>AUTO</v>
          </cell>
          <cell r="C490" t="str">
            <v>ALL</v>
          </cell>
        </row>
        <row r="491">
          <cell r="A491" t="str">
            <v>EGD-0490</v>
          </cell>
          <cell r="B491" t="str">
            <v>OBS2</v>
          </cell>
          <cell r="C491" t="str">
            <v>FLAIR</v>
          </cell>
        </row>
        <row r="492">
          <cell r="A492" t="str">
            <v>EGD-0491</v>
          </cell>
          <cell r="B492" t="str">
            <v>AUTO</v>
          </cell>
          <cell r="C492" t="str">
            <v>ALL</v>
          </cell>
        </row>
        <row r="493">
          <cell r="A493" t="str">
            <v>EGD-0492</v>
          </cell>
          <cell r="B493" t="str">
            <v>OBS1</v>
          </cell>
          <cell r="C493" t="str">
            <v>FLAIR</v>
          </cell>
        </row>
        <row r="494">
          <cell r="A494" t="str">
            <v>EGD-0493</v>
          </cell>
          <cell r="B494" t="str">
            <v>AUTO</v>
          </cell>
          <cell r="C494" t="str">
            <v>ALL</v>
          </cell>
        </row>
        <row r="495">
          <cell r="A495" t="str">
            <v>EGD-0494</v>
          </cell>
          <cell r="B495" t="str">
            <v>OBS1</v>
          </cell>
          <cell r="C495" t="str">
            <v>T2</v>
          </cell>
        </row>
        <row r="496">
          <cell r="A496" t="str">
            <v>EGD-0495</v>
          </cell>
          <cell r="B496" t="str">
            <v>OBS2</v>
          </cell>
          <cell r="C496" t="str">
            <v>FLAIR</v>
          </cell>
        </row>
        <row r="497">
          <cell r="A497" t="str">
            <v>EGD-0496</v>
          </cell>
          <cell r="B497" t="str">
            <v>AUTO</v>
          </cell>
          <cell r="C497" t="str">
            <v>ALL</v>
          </cell>
        </row>
        <row r="498">
          <cell r="A498" t="str">
            <v>EGD-0497</v>
          </cell>
          <cell r="B498" t="str">
            <v>AUTO</v>
          </cell>
          <cell r="C498" t="str">
            <v>ALL</v>
          </cell>
        </row>
        <row r="499">
          <cell r="A499" t="str">
            <v>EGD-0498</v>
          </cell>
          <cell r="B499" t="str">
            <v>AUTO</v>
          </cell>
          <cell r="C499" t="str">
            <v>ALL</v>
          </cell>
        </row>
        <row r="500">
          <cell r="A500" t="str">
            <v>EGD-0499</v>
          </cell>
          <cell r="B500" t="str">
            <v>AUTO</v>
          </cell>
          <cell r="C500" t="str">
            <v>ALL</v>
          </cell>
        </row>
        <row r="501">
          <cell r="A501" t="str">
            <v>EGD-0500</v>
          </cell>
          <cell r="B501" t="str">
            <v>OBS1</v>
          </cell>
          <cell r="C501" t="str">
            <v>FLAIR</v>
          </cell>
        </row>
        <row r="502">
          <cell r="A502" t="str">
            <v>EGD-0501</v>
          </cell>
          <cell r="B502" t="str">
            <v>OBS1</v>
          </cell>
          <cell r="C502" t="str">
            <v>T2</v>
          </cell>
        </row>
        <row r="503">
          <cell r="A503" t="str">
            <v>EGD-0502</v>
          </cell>
          <cell r="B503" t="str">
            <v>OBS1</v>
          </cell>
          <cell r="C503" t="str">
            <v>FLAIR</v>
          </cell>
        </row>
        <row r="504">
          <cell r="A504" t="str">
            <v>EGD-0503</v>
          </cell>
          <cell r="B504" t="str">
            <v>AUTO</v>
          </cell>
          <cell r="C504" t="str">
            <v>ALL</v>
          </cell>
        </row>
        <row r="505">
          <cell r="A505" t="str">
            <v>EGD-0504</v>
          </cell>
          <cell r="B505" t="str">
            <v>AUTO</v>
          </cell>
          <cell r="C505" t="str">
            <v>ALL</v>
          </cell>
        </row>
        <row r="506">
          <cell r="A506" t="str">
            <v>EGD-0505</v>
          </cell>
          <cell r="B506" t="str">
            <v>OBS1</v>
          </cell>
          <cell r="C506" t="str">
            <v>T2</v>
          </cell>
        </row>
        <row r="507">
          <cell r="A507" t="str">
            <v>EGD-0506</v>
          </cell>
          <cell r="B507" t="str">
            <v>AUTO</v>
          </cell>
          <cell r="C507" t="str">
            <v>ALL</v>
          </cell>
        </row>
        <row r="508">
          <cell r="A508" t="str">
            <v>EGD-0507</v>
          </cell>
          <cell r="B508" t="str">
            <v>OBS1</v>
          </cell>
          <cell r="C508" t="str">
            <v>T2</v>
          </cell>
        </row>
        <row r="509">
          <cell r="A509" t="str">
            <v>EGD-0508</v>
          </cell>
          <cell r="B509" t="str">
            <v>AUTO</v>
          </cell>
          <cell r="C509" t="str">
            <v>ALL</v>
          </cell>
        </row>
        <row r="510">
          <cell r="A510" t="str">
            <v>EGD-0509</v>
          </cell>
          <cell r="B510" t="str">
            <v>AUTO</v>
          </cell>
          <cell r="C510" t="str">
            <v>ALL</v>
          </cell>
        </row>
        <row r="511">
          <cell r="A511" t="str">
            <v>EGD-0510</v>
          </cell>
          <cell r="B511" t="str">
            <v>AUTO</v>
          </cell>
          <cell r="C511" t="str">
            <v>ALL</v>
          </cell>
        </row>
        <row r="512">
          <cell r="A512" t="str">
            <v>EGD-0511</v>
          </cell>
          <cell r="B512" t="str">
            <v>OBS2</v>
          </cell>
          <cell r="C512" t="str">
            <v>FLAIR</v>
          </cell>
        </row>
        <row r="513">
          <cell r="A513" t="str">
            <v>EGD-0512</v>
          </cell>
          <cell r="B513" t="str">
            <v>OBS1</v>
          </cell>
          <cell r="C513" t="str">
            <v>T2</v>
          </cell>
        </row>
        <row r="514">
          <cell r="A514" t="str">
            <v>EGD-0513</v>
          </cell>
          <cell r="B514" t="str">
            <v>OBS1</v>
          </cell>
          <cell r="C514" t="str">
            <v>T2</v>
          </cell>
        </row>
        <row r="515">
          <cell r="A515" t="str">
            <v>EGD-0514</v>
          </cell>
          <cell r="B515" t="str">
            <v>OBS2</v>
          </cell>
          <cell r="C515" t="str">
            <v>FLAIR</v>
          </cell>
        </row>
        <row r="516">
          <cell r="A516" t="str">
            <v>EGD-0515</v>
          </cell>
          <cell r="B516" t="str">
            <v>AUTO</v>
          </cell>
          <cell r="C516" t="str">
            <v>ALL</v>
          </cell>
        </row>
        <row r="517">
          <cell r="A517" t="str">
            <v>EGD-0516</v>
          </cell>
          <cell r="B517" t="str">
            <v>AUTO</v>
          </cell>
          <cell r="C517" t="str">
            <v>ALL</v>
          </cell>
        </row>
        <row r="518">
          <cell r="A518" t="str">
            <v>EGD-0517</v>
          </cell>
          <cell r="B518" t="str">
            <v>OBS1</v>
          </cell>
          <cell r="C518" t="str">
            <v>FLAIR</v>
          </cell>
        </row>
        <row r="519">
          <cell r="A519" t="str">
            <v>EGD-0518</v>
          </cell>
          <cell r="B519" t="str">
            <v>OBS2</v>
          </cell>
          <cell r="C519" t="str">
            <v>FLAIR</v>
          </cell>
        </row>
        <row r="520">
          <cell r="A520" t="str">
            <v>EGD-0519</v>
          </cell>
          <cell r="B520" t="str">
            <v>AUTO</v>
          </cell>
          <cell r="C520" t="str">
            <v>ALL</v>
          </cell>
        </row>
        <row r="521">
          <cell r="A521" t="str">
            <v>EGD-0520</v>
          </cell>
          <cell r="B521" t="str">
            <v>AUTO</v>
          </cell>
          <cell r="C521" t="str">
            <v>ALL</v>
          </cell>
        </row>
        <row r="522">
          <cell r="A522" t="str">
            <v>EGD-0521</v>
          </cell>
          <cell r="B522" t="str">
            <v>OBS2</v>
          </cell>
          <cell r="C522" t="str">
            <v>FLAIR</v>
          </cell>
        </row>
        <row r="523">
          <cell r="A523" t="str">
            <v>EGD-0522</v>
          </cell>
          <cell r="B523" t="str">
            <v>AUTO</v>
          </cell>
          <cell r="C523" t="str">
            <v>ALL</v>
          </cell>
        </row>
        <row r="524">
          <cell r="A524" t="str">
            <v>EGD-0523</v>
          </cell>
          <cell r="B524" t="str">
            <v>OBS2</v>
          </cell>
          <cell r="C524" t="str">
            <v>FLAIR</v>
          </cell>
        </row>
        <row r="525">
          <cell r="A525" t="str">
            <v>EGD-0524</v>
          </cell>
          <cell r="B525" t="str">
            <v>OBS1</v>
          </cell>
          <cell r="C525" t="str">
            <v>T2</v>
          </cell>
        </row>
        <row r="526">
          <cell r="A526" t="str">
            <v>EGD-0525</v>
          </cell>
          <cell r="B526" t="str">
            <v>OBS1</v>
          </cell>
          <cell r="C526" t="str">
            <v>FLAIR</v>
          </cell>
        </row>
        <row r="527">
          <cell r="A527" t="str">
            <v>EGD-0526</v>
          </cell>
          <cell r="B527" t="str">
            <v>AUTO</v>
          </cell>
          <cell r="C527" t="str">
            <v>ALL</v>
          </cell>
        </row>
        <row r="528">
          <cell r="A528" t="str">
            <v>EGD-0527</v>
          </cell>
          <cell r="B528" t="str">
            <v>AUTO</v>
          </cell>
          <cell r="C528" t="str">
            <v>ALL</v>
          </cell>
        </row>
        <row r="529">
          <cell r="A529" t="str">
            <v>EGD-0528</v>
          </cell>
          <cell r="B529" t="str">
            <v>AUTO</v>
          </cell>
          <cell r="C529" t="str">
            <v>ALL</v>
          </cell>
        </row>
        <row r="530">
          <cell r="A530" t="str">
            <v>EGD-0529</v>
          </cell>
          <cell r="B530" t="str">
            <v>AUTO</v>
          </cell>
          <cell r="C530" t="str">
            <v>ALL</v>
          </cell>
        </row>
        <row r="531">
          <cell r="A531" t="str">
            <v>EGD-0530</v>
          </cell>
          <cell r="B531" t="str">
            <v>OBS2</v>
          </cell>
          <cell r="C531" t="str">
            <v>FLAIR</v>
          </cell>
        </row>
        <row r="532">
          <cell r="A532" t="str">
            <v>EGD-0531</v>
          </cell>
          <cell r="B532" t="str">
            <v>AUTO</v>
          </cell>
          <cell r="C532" t="str">
            <v>ALL</v>
          </cell>
        </row>
        <row r="533">
          <cell r="A533" t="str">
            <v>EGD-0532</v>
          </cell>
          <cell r="B533" t="str">
            <v>OBS1</v>
          </cell>
          <cell r="C533" t="str">
            <v>T2</v>
          </cell>
        </row>
        <row r="534">
          <cell r="A534" t="str">
            <v>EGD-0533</v>
          </cell>
          <cell r="B534" t="str">
            <v>AUTO</v>
          </cell>
          <cell r="C534" t="str">
            <v>ALL</v>
          </cell>
        </row>
        <row r="535">
          <cell r="A535" t="str">
            <v>EGD-0534</v>
          </cell>
          <cell r="B535" t="str">
            <v>AUTO</v>
          </cell>
          <cell r="C535" t="str">
            <v>ALL</v>
          </cell>
        </row>
        <row r="536">
          <cell r="A536" t="str">
            <v>EGD-0535</v>
          </cell>
          <cell r="B536" t="str">
            <v>OBS1</v>
          </cell>
          <cell r="C536" t="str">
            <v>T2</v>
          </cell>
        </row>
        <row r="537">
          <cell r="A537" t="str">
            <v>EGD-0536</v>
          </cell>
          <cell r="B537" t="str">
            <v>OBS2</v>
          </cell>
          <cell r="C537" t="str">
            <v>FLAIR</v>
          </cell>
        </row>
        <row r="538">
          <cell r="A538" t="str">
            <v>EGD-0537</v>
          </cell>
          <cell r="B538" t="str">
            <v>AUTO</v>
          </cell>
          <cell r="C538" t="str">
            <v>ALL</v>
          </cell>
        </row>
        <row r="539">
          <cell r="A539" t="str">
            <v>EGD-0538</v>
          </cell>
          <cell r="B539" t="str">
            <v>AUTO</v>
          </cell>
          <cell r="C539" t="str">
            <v>ALL</v>
          </cell>
        </row>
        <row r="540">
          <cell r="A540" t="str">
            <v>EGD-0539</v>
          </cell>
          <cell r="B540" t="str">
            <v>OBS1</v>
          </cell>
          <cell r="C540" t="str">
            <v>T2</v>
          </cell>
        </row>
        <row r="541">
          <cell r="A541" t="str">
            <v>EGD-0540</v>
          </cell>
          <cell r="B541" t="str">
            <v>AUTO</v>
          </cell>
          <cell r="C541" t="str">
            <v>ALL</v>
          </cell>
        </row>
        <row r="542">
          <cell r="A542" t="str">
            <v>EGD-0541</v>
          </cell>
          <cell r="B542" t="str">
            <v>OBS1</v>
          </cell>
          <cell r="C542" t="str">
            <v>FLAIR</v>
          </cell>
        </row>
        <row r="543">
          <cell r="A543" t="str">
            <v>EGD-0542</v>
          </cell>
          <cell r="B543" t="str">
            <v>AUTO</v>
          </cell>
          <cell r="C543" t="str">
            <v>ALL</v>
          </cell>
        </row>
        <row r="544">
          <cell r="A544" t="str">
            <v>EGD-0543</v>
          </cell>
          <cell r="B544" t="str">
            <v>OBS1</v>
          </cell>
          <cell r="C544" t="str">
            <v>T2</v>
          </cell>
        </row>
        <row r="545">
          <cell r="A545" t="str">
            <v>EGD-0544</v>
          </cell>
          <cell r="B545" t="str">
            <v>OBS1</v>
          </cell>
          <cell r="C545" t="str">
            <v>T2</v>
          </cell>
        </row>
        <row r="546">
          <cell r="A546" t="str">
            <v>EGD-0545</v>
          </cell>
          <cell r="B546" t="str">
            <v>AUTO</v>
          </cell>
          <cell r="C546" t="str">
            <v>ALL</v>
          </cell>
        </row>
        <row r="547">
          <cell r="A547" t="str">
            <v>EGD-0546</v>
          </cell>
          <cell r="B547" t="str">
            <v>AUTO</v>
          </cell>
          <cell r="C547" t="str">
            <v>ALL</v>
          </cell>
        </row>
        <row r="548">
          <cell r="A548" t="str">
            <v>EGD-0547</v>
          </cell>
          <cell r="B548" t="str">
            <v>OBS1</v>
          </cell>
          <cell r="C548" t="str">
            <v>FLAIR</v>
          </cell>
        </row>
        <row r="549">
          <cell r="A549" t="str">
            <v>EGD-0548</v>
          </cell>
          <cell r="B549" t="str">
            <v>OBS1</v>
          </cell>
          <cell r="C549" t="str">
            <v>T2</v>
          </cell>
        </row>
        <row r="550">
          <cell r="A550" t="str">
            <v>EGD-0549</v>
          </cell>
          <cell r="B550" t="str">
            <v>OBS1</v>
          </cell>
          <cell r="C550" t="str">
            <v>FLAIR</v>
          </cell>
        </row>
        <row r="551">
          <cell r="A551" t="str">
            <v>EGD-0550</v>
          </cell>
          <cell r="B551" t="str">
            <v>AUTO</v>
          </cell>
          <cell r="C551" t="str">
            <v>ALL</v>
          </cell>
        </row>
        <row r="552">
          <cell r="A552" t="str">
            <v>EGD-0551</v>
          </cell>
          <cell r="B552" t="str">
            <v>AUTO</v>
          </cell>
          <cell r="C552" t="str">
            <v>ALL</v>
          </cell>
        </row>
        <row r="553">
          <cell r="A553" t="str">
            <v>EGD-0552</v>
          </cell>
          <cell r="B553" t="str">
            <v>OBS2</v>
          </cell>
          <cell r="C553" t="str">
            <v>FLAIR</v>
          </cell>
        </row>
        <row r="554">
          <cell r="A554" t="str">
            <v>EGD-0553</v>
          </cell>
          <cell r="B554" t="str">
            <v>AUTO</v>
          </cell>
          <cell r="C554" t="str">
            <v>ALL</v>
          </cell>
        </row>
        <row r="555">
          <cell r="A555" t="str">
            <v>EGD-0554</v>
          </cell>
          <cell r="B555" t="str">
            <v>AUTO</v>
          </cell>
          <cell r="C555" t="str">
            <v>ALL</v>
          </cell>
        </row>
        <row r="556">
          <cell r="A556" t="str">
            <v>EGD-0555</v>
          </cell>
          <cell r="B556" t="str">
            <v>AUTO</v>
          </cell>
          <cell r="C556" t="str">
            <v>ALL</v>
          </cell>
        </row>
        <row r="557">
          <cell r="A557" t="str">
            <v>EGD-0556</v>
          </cell>
          <cell r="B557" t="str">
            <v>AUTO</v>
          </cell>
          <cell r="C557" t="str">
            <v>ALL</v>
          </cell>
        </row>
        <row r="558">
          <cell r="A558" t="str">
            <v>EGD-0557</v>
          </cell>
          <cell r="B558" t="str">
            <v>OBS1</v>
          </cell>
          <cell r="C558" t="str">
            <v>FLAIR</v>
          </cell>
        </row>
        <row r="559">
          <cell r="A559" t="str">
            <v>EGD-0558</v>
          </cell>
          <cell r="B559" t="str">
            <v>AUTO</v>
          </cell>
          <cell r="C559" t="str">
            <v>ALL</v>
          </cell>
        </row>
        <row r="560">
          <cell r="A560" t="str">
            <v>EGD-0559</v>
          </cell>
          <cell r="B560" t="str">
            <v>AUTO</v>
          </cell>
          <cell r="C560" t="str">
            <v>ALL</v>
          </cell>
        </row>
        <row r="561">
          <cell r="A561" t="str">
            <v>EGD-0560</v>
          </cell>
          <cell r="B561" t="str">
            <v>AUTO</v>
          </cell>
          <cell r="C561" t="str">
            <v>ALL</v>
          </cell>
        </row>
        <row r="562">
          <cell r="A562" t="str">
            <v>EGD-0561</v>
          </cell>
          <cell r="B562" t="str">
            <v>OBS2</v>
          </cell>
          <cell r="C562" t="str">
            <v>FLAIR</v>
          </cell>
        </row>
        <row r="563">
          <cell r="A563" t="str">
            <v>EGD-0562</v>
          </cell>
          <cell r="B563" t="str">
            <v>AUTO</v>
          </cell>
          <cell r="C563" t="str">
            <v>ALL</v>
          </cell>
        </row>
        <row r="564">
          <cell r="A564" t="str">
            <v>EGD-0563</v>
          </cell>
          <cell r="B564" t="str">
            <v>OBS2</v>
          </cell>
          <cell r="C564" t="str">
            <v>FLAIR</v>
          </cell>
        </row>
        <row r="565">
          <cell r="A565" t="str">
            <v>EGD-0564</v>
          </cell>
          <cell r="B565" t="str">
            <v>OBS1</v>
          </cell>
          <cell r="C565" t="str">
            <v>FLAIR</v>
          </cell>
        </row>
        <row r="566">
          <cell r="A566" t="str">
            <v>EGD-0565</v>
          </cell>
          <cell r="B566" t="str">
            <v>AUTO</v>
          </cell>
          <cell r="C566" t="str">
            <v>ALL</v>
          </cell>
        </row>
        <row r="567">
          <cell r="A567" t="str">
            <v>EGD-0566</v>
          </cell>
          <cell r="B567" t="str">
            <v>OBS1</v>
          </cell>
          <cell r="C567" t="str">
            <v>T2</v>
          </cell>
        </row>
        <row r="568">
          <cell r="A568" t="str">
            <v>EGD-0567</v>
          </cell>
          <cell r="B568" t="str">
            <v>AUTO</v>
          </cell>
          <cell r="C568" t="str">
            <v>ALL</v>
          </cell>
        </row>
        <row r="569">
          <cell r="A569" t="str">
            <v>EGD-0568</v>
          </cell>
          <cell r="B569" t="str">
            <v>AUTO</v>
          </cell>
          <cell r="C569" t="str">
            <v>ALL</v>
          </cell>
        </row>
        <row r="570">
          <cell r="A570" t="str">
            <v>EGD-0569</v>
          </cell>
          <cell r="B570" t="str">
            <v>AUTO</v>
          </cell>
          <cell r="C570" t="str">
            <v>ALL</v>
          </cell>
        </row>
        <row r="571">
          <cell r="A571" t="str">
            <v>EGD-0570</v>
          </cell>
          <cell r="B571" t="str">
            <v>AUTO</v>
          </cell>
          <cell r="C571" t="str">
            <v>ALL</v>
          </cell>
        </row>
        <row r="572">
          <cell r="A572" t="str">
            <v>EGD-0571</v>
          </cell>
          <cell r="B572" t="str">
            <v>OBS2</v>
          </cell>
          <cell r="C572" t="str">
            <v>FLAIR</v>
          </cell>
        </row>
        <row r="573">
          <cell r="A573" t="str">
            <v>EGD-0572</v>
          </cell>
          <cell r="B573" t="str">
            <v>AUTO</v>
          </cell>
          <cell r="C573" t="str">
            <v>ALL</v>
          </cell>
        </row>
        <row r="574">
          <cell r="A574" t="str">
            <v>EGD-0573</v>
          </cell>
          <cell r="B574" t="str">
            <v>AUTO</v>
          </cell>
          <cell r="C574" t="str">
            <v>ALL</v>
          </cell>
        </row>
        <row r="575">
          <cell r="A575" t="str">
            <v>EGD-0574</v>
          </cell>
          <cell r="B575" t="str">
            <v>OBS1</v>
          </cell>
          <cell r="C575" t="str">
            <v>FLAIR</v>
          </cell>
        </row>
        <row r="576">
          <cell r="A576" t="str">
            <v>EGD-0575</v>
          </cell>
          <cell r="B576" t="str">
            <v>AUTO</v>
          </cell>
          <cell r="C576" t="str">
            <v>ALL</v>
          </cell>
        </row>
        <row r="577">
          <cell r="A577" t="str">
            <v>EGD-0576</v>
          </cell>
          <cell r="B577" t="str">
            <v>AUTO</v>
          </cell>
          <cell r="C577" t="str">
            <v>ALL</v>
          </cell>
        </row>
        <row r="578">
          <cell r="A578" t="str">
            <v>EGD-0577</v>
          </cell>
          <cell r="B578" t="str">
            <v>AUTO</v>
          </cell>
          <cell r="C578" t="str">
            <v>ALL</v>
          </cell>
        </row>
        <row r="579">
          <cell r="A579" t="str">
            <v>EGD-0578</v>
          </cell>
          <cell r="B579" t="str">
            <v>AUTO</v>
          </cell>
          <cell r="C579" t="str">
            <v>ALL</v>
          </cell>
        </row>
        <row r="580">
          <cell r="A580" t="str">
            <v>EGD-0579</v>
          </cell>
          <cell r="B580" t="str">
            <v>OBS1</v>
          </cell>
          <cell r="C580" t="str">
            <v>FLAIR</v>
          </cell>
        </row>
        <row r="581">
          <cell r="A581" t="str">
            <v>EGD-0580</v>
          </cell>
          <cell r="B581" t="str">
            <v>OBS3</v>
          </cell>
          <cell r="C581" t="str">
            <v>T2</v>
          </cell>
        </row>
        <row r="582">
          <cell r="A582" t="str">
            <v>EGD-0581</v>
          </cell>
          <cell r="B582" t="str">
            <v>OBS1</v>
          </cell>
          <cell r="C582" t="str">
            <v>T2</v>
          </cell>
        </row>
        <row r="583">
          <cell r="A583" t="str">
            <v>EGD-0582</v>
          </cell>
          <cell r="B583" t="str">
            <v>AUTO</v>
          </cell>
          <cell r="C583" t="str">
            <v>ALL</v>
          </cell>
        </row>
        <row r="584">
          <cell r="A584" t="str">
            <v>EGD-0583</v>
          </cell>
          <cell r="B584" t="str">
            <v>AUTO</v>
          </cell>
          <cell r="C584" t="str">
            <v>ALL</v>
          </cell>
        </row>
        <row r="585">
          <cell r="A585" t="str">
            <v>EGD-0584</v>
          </cell>
          <cell r="B585" t="str">
            <v>AUTO</v>
          </cell>
          <cell r="C585" t="str">
            <v>ALL</v>
          </cell>
        </row>
        <row r="586">
          <cell r="A586" t="str">
            <v>EGD-0585</v>
          </cell>
          <cell r="B586" t="str">
            <v>OBS4</v>
          </cell>
          <cell r="C586" t="str">
            <v>T2</v>
          </cell>
        </row>
        <row r="587">
          <cell r="A587" t="str">
            <v>EGD-0586</v>
          </cell>
          <cell r="B587" t="str">
            <v>OBS2</v>
          </cell>
          <cell r="C587" t="str">
            <v>FLAIR</v>
          </cell>
        </row>
        <row r="588">
          <cell r="A588" t="str">
            <v>EGD-0587</v>
          </cell>
          <cell r="B588" t="str">
            <v>OBS1</v>
          </cell>
          <cell r="C588" t="str">
            <v>T2</v>
          </cell>
        </row>
        <row r="589">
          <cell r="A589" t="str">
            <v>EGD-0588</v>
          </cell>
          <cell r="B589" t="str">
            <v>AUTO</v>
          </cell>
          <cell r="C589" t="str">
            <v>ALL</v>
          </cell>
        </row>
        <row r="590">
          <cell r="A590" t="str">
            <v>EGD-0589</v>
          </cell>
          <cell r="B590" t="str">
            <v>OBS1</v>
          </cell>
          <cell r="C590" t="str">
            <v>T2</v>
          </cell>
        </row>
        <row r="591">
          <cell r="A591" t="str">
            <v>EGD-0590</v>
          </cell>
          <cell r="B591" t="str">
            <v>OBS1</v>
          </cell>
          <cell r="C591" t="str">
            <v>FLAIR</v>
          </cell>
        </row>
        <row r="592">
          <cell r="A592" t="str">
            <v>EGD-0591</v>
          </cell>
          <cell r="B592" t="str">
            <v>OBS1</v>
          </cell>
          <cell r="C592" t="str">
            <v>T2</v>
          </cell>
        </row>
        <row r="593">
          <cell r="A593" t="str">
            <v>EGD-0592</v>
          </cell>
          <cell r="B593" t="str">
            <v>AUTO</v>
          </cell>
          <cell r="C593" t="str">
            <v>ALL</v>
          </cell>
        </row>
        <row r="594">
          <cell r="A594" t="str">
            <v>EGD-0593</v>
          </cell>
          <cell r="B594" t="str">
            <v>OBS1</v>
          </cell>
          <cell r="C594" t="str">
            <v>T2</v>
          </cell>
        </row>
        <row r="595">
          <cell r="A595" t="str">
            <v>EGD-0594</v>
          </cell>
          <cell r="B595" t="str">
            <v>OBS1</v>
          </cell>
          <cell r="C595" t="str">
            <v>T2</v>
          </cell>
        </row>
        <row r="596">
          <cell r="A596" t="str">
            <v>EGD-0595</v>
          </cell>
          <cell r="B596" t="str">
            <v>OBS1</v>
          </cell>
          <cell r="C596" t="str">
            <v>T2</v>
          </cell>
        </row>
        <row r="597">
          <cell r="A597" t="str">
            <v>EGD-0596</v>
          </cell>
          <cell r="B597" t="str">
            <v>OBS1</v>
          </cell>
          <cell r="C597" t="str">
            <v>T2</v>
          </cell>
        </row>
        <row r="598">
          <cell r="A598" t="str">
            <v>EGD-0597</v>
          </cell>
          <cell r="B598" t="str">
            <v>AUTO</v>
          </cell>
          <cell r="C598" t="str">
            <v>ALL</v>
          </cell>
        </row>
        <row r="599">
          <cell r="A599" t="str">
            <v>EGD-0598</v>
          </cell>
          <cell r="B599" t="str">
            <v>OBS2</v>
          </cell>
          <cell r="C599" t="str">
            <v>FLAIR</v>
          </cell>
        </row>
        <row r="600">
          <cell r="A600" t="str">
            <v>EGD-0599</v>
          </cell>
          <cell r="B600" t="str">
            <v>AUTO</v>
          </cell>
          <cell r="C600" t="str">
            <v>ALL</v>
          </cell>
        </row>
        <row r="601">
          <cell r="A601" t="str">
            <v>EGD-0600</v>
          </cell>
          <cell r="B601" t="str">
            <v>OBS1</v>
          </cell>
          <cell r="C601" t="str">
            <v>T2</v>
          </cell>
        </row>
        <row r="602">
          <cell r="A602" t="str">
            <v>EGD-0601</v>
          </cell>
          <cell r="B602" t="str">
            <v>OBS1</v>
          </cell>
          <cell r="C602" t="str">
            <v>FLAIR</v>
          </cell>
        </row>
        <row r="603">
          <cell r="A603" t="str">
            <v>EGD-0602</v>
          </cell>
          <cell r="B603" t="str">
            <v>AUTO</v>
          </cell>
          <cell r="C603" t="str">
            <v>ALL</v>
          </cell>
        </row>
        <row r="604">
          <cell r="A604" t="str">
            <v>EGD-0603</v>
          </cell>
          <cell r="B604" t="str">
            <v>OBS1</v>
          </cell>
          <cell r="C604" t="str">
            <v>T2</v>
          </cell>
        </row>
        <row r="605">
          <cell r="A605" t="str">
            <v>EGD-0604</v>
          </cell>
          <cell r="B605" t="str">
            <v>OBS2</v>
          </cell>
          <cell r="C605" t="str">
            <v>FLAIR</v>
          </cell>
        </row>
        <row r="606">
          <cell r="A606" t="str">
            <v>EGD-0605</v>
          </cell>
          <cell r="B606" t="str">
            <v>AUTO</v>
          </cell>
          <cell r="C606" t="str">
            <v>ALL</v>
          </cell>
        </row>
        <row r="607">
          <cell r="A607" t="str">
            <v>EGD-0606</v>
          </cell>
          <cell r="B607" t="str">
            <v>OBS1</v>
          </cell>
          <cell r="C607" t="str">
            <v>FLAIR</v>
          </cell>
        </row>
        <row r="608">
          <cell r="A608" t="str">
            <v>EGD-0607</v>
          </cell>
          <cell r="B608" t="str">
            <v>AUTO</v>
          </cell>
          <cell r="C608" t="str">
            <v>ALL</v>
          </cell>
        </row>
        <row r="609">
          <cell r="A609" t="str">
            <v>EGD-0608</v>
          </cell>
          <cell r="B609" t="str">
            <v>OBS1</v>
          </cell>
          <cell r="C609" t="str">
            <v>T2</v>
          </cell>
        </row>
        <row r="610">
          <cell r="A610" t="str">
            <v>EGD-0609</v>
          </cell>
          <cell r="B610" t="str">
            <v>AUTO</v>
          </cell>
          <cell r="C610" t="str">
            <v>ALL</v>
          </cell>
        </row>
        <row r="611">
          <cell r="A611" t="str">
            <v>EGD-0610</v>
          </cell>
          <cell r="B611" t="str">
            <v>AUTO</v>
          </cell>
          <cell r="C611" t="str">
            <v>ALL</v>
          </cell>
        </row>
        <row r="612">
          <cell r="A612" t="str">
            <v>EGD-0611</v>
          </cell>
          <cell r="B612" t="str">
            <v>AUTO</v>
          </cell>
          <cell r="C612" t="str">
            <v>ALL</v>
          </cell>
        </row>
        <row r="613">
          <cell r="A613" t="str">
            <v>EGD-0612</v>
          </cell>
          <cell r="B613" t="str">
            <v>AUTO</v>
          </cell>
          <cell r="C613" t="str">
            <v>ALL</v>
          </cell>
        </row>
        <row r="614">
          <cell r="A614" t="str">
            <v>EGD-0613</v>
          </cell>
          <cell r="B614" t="str">
            <v>AUTO</v>
          </cell>
          <cell r="C614" t="str">
            <v>ALL</v>
          </cell>
        </row>
        <row r="615">
          <cell r="A615" t="str">
            <v>EGD-0614</v>
          </cell>
          <cell r="B615" t="str">
            <v>AUTO</v>
          </cell>
          <cell r="C615" t="str">
            <v>ALL</v>
          </cell>
        </row>
        <row r="616">
          <cell r="A616" t="str">
            <v>EGD-0615</v>
          </cell>
          <cell r="B616" t="str">
            <v>AUTO</v>
          </cell>
          <cell r="C616" t="str">
            <v>ALL</v>
          </cell>
        </row>
        <row r="617">
          <cell r="A617" t="str">
            <v>EGD-0616</v>
          </cell>
          <cell r="B617" t="str">
            <v>AUTO</v>
          </cell>
          <cell r="C617" t="str">
            <v>ALL</v>
          </cell>
        </row>
        <row r="618">
          <cell r="A618" t="str">
            <v>EGD-0617</v>
          </cell>
          <cell r="B618" t="str">
            <v>OBS1</v>
          </cell>
          <cell r="C618" t="str">
            <v>T2</v>
          </cell>
        </row>
        <row r="619">
          <cell r="A619" t="str">
            <v>EGD-0618</v>
          </cell>
          <cell r="B619" t="str">
            <v>AUTO</v>
          </cell>
          <cell r="C619" t="str">
            <v>ALL</v>
          </cell>
        </row>
        <row r="620">
          <cell r="A620" t="str">
            <v>EGD-0619</v>
          </cell>
          <cell r="B620" t="str">
            <v>AUTO</v>
          </cell>
          <cell r="C620" t="str">
            <v>ALL</v>
          </cell>
        </row>
        <row r="621">
          <cell r="A621" t="str">
            <v>EGD-0620</v>
          </cell>
          <cell r="B621" t="str">
            <v>AUTO</v>
          </cell>
          <cell r="C621" t="str">
            <v>ALL</v>
          </cell>
        </row>
        <row r="622">
          <cell r="A622" t="str">
            <v>EGD-0621</v>
          </cell>
          <cell r="B622" t="str">
            <v>OBS1</v>
          </cell>
          <cell r="C622" t="str">
            <v>T2</v>
          </cell>
        </row>
        <row r="623">
          <cell r="A623" t="str">
            <v>EGD-0622</v>
          </cell>
          <cell r="B623" t="str">
            <v>OBS1</v>
          </cell>
          <cell r="C623" t="str">
            <v>T2</v>
          </cell>
        </row>
        <row r="624">
          <cell r="A624" t="str">
            <v>EGD-0623</v>
          </cell>
          <cell r="B624" t="str">
            <v>AUTO</v>
          </cell>
          <cell r="C624" t="str">
            <v>ALL</v>
          </cell>
        </row>
        <row r="625">
          <cell r="A625" t="str">
            <v>EGD-0624</v>
          </cell>
          <cell r="B625" t="str">
            <v>OBS1</v>
          </cell>
          <cell r="C625" t="str">
            <v>T2</v>
          </cell>
        </row>
        <row r="626">
          <cell r="A626" t="str">
            <v>EGD-0625</v>
          </cell>
          <cell r="B626" t="str">
            <v>OBS1</v>
          </cell>
          <cell r="C626" t="str">
            <v>T2</v>
          </cell>
        </row>
        <row r="627">
          <cell r="A627" t="str">
            <v>EGD-0626</v>
          </cell>
          <cell r="B627" t="str">
            <v>OBS1</v>
          </cell>
          <cell r="C627" t="str">
            <v>FLAIR</v>
          </cell>
        </row>
        <row r="628">
          <cell r="A628" t="str">
            <v>EGD-0627</v>
          </cell>
          <cell r="B628" t="str">
            <v>OBS1</v>
          </cell>
          <cell r="C628" t="str">
            <v>T2</v>
          </cell>
        </row>
        <row r="629">
          <cell r="A629" t="str">
            <v>EGD-0628</v>
          </cell>
          <cell r="B629" t="str">
            <v>OBS1</v>
          </cell>
          <cell r="C629" t="str">
            <v>T2</v>
          </cell>
        </row>
        <row r="630">
          <cell r="A630" t="str">
            <v>EGD-0629</v>
          </cell>
          <cell r="B630" t="str">
            <v>AUTO</v>
          </cell>
          <cell r="C630" t="str">
            <v>ALL</v>
          </cell>
        </row>
        <row r="631">
          <cell r="A631" t="str">
            <v>EGD-0630</v>
          </cell>
          <cell r="B631" t="str">
            <v>AUTO</v>
          </cell>
          <cell r="C631" t="str">
            <v>ALL</v>
          </cell>
        </row>
        <row r="632">
          <cell r="A632" t="str">
            <v>EGD-0631</v>
          </cell>
          <cell r="B632" t="str">
            <v>OBS2</v>
          </cell>
          <cell r="C632" t="str">
            <v>FLAIR</v>
          </cell>
        </row>
        <row r="633">
          <cell r="A633" t="str">
            <v>EGD-0632</v>
          </cell>
          <cell r="B633" t="str">
            <v>OBS1</v>
          </cell>
          <cell r="C633" t="str">
            <v>T2</v>
          </cell>
        </row>
        <row r="634">
          <cell r="A634" t="str">
            <v>EGD-0633</v>
          </cell>
          <cell r="B634" t="str">
            <v>AUTO</v>
          </cell>
          <cell r="C634" t="str">
            <v>ALL</v>
          </cell>
        </row>
        <row r="635">
          <cell r="A635" t="str">
            <v>EGD-0634</v>
          </cell>
          <cell r="B635" t="str">
            <v>AUTO</v>
          </cell>
          <cell r="C635" t="str">
            <v>ALL</v>
          </cell>
        </row>
        <row r="636">
          <cell r="A636" t="str">
            <v>EGD-0635</v>
          </cell>
          <cell r="B636" t="str">
            <v>OBS1</v>
          </cell>
          <cell r="C636" t="str">
            <v>T2</v>
          </cell>
        </row>
        <row r="637">
          <cell r="A637" t="str">
            <v>EGD-0636</v>
          </cell>
          <cell r="B637" t="str">
            <v>OBS2</v>
          </cell>
          <cell r="C637" t="str">
            <v>FLAIR</v>
          </cell>
        </row>
        <row r="638">
          <cell r="A638" t="str">
            <v>EGD-0637</v>
          </cell>
          <cell r="B638" t="str">
            <v>AUTO</v>
          </cell>
          <cell r="C638" t="str">
            <v>ALL</v>
          </cell>
        </row>
        <row r="639">
          <cell r="A639" t="str">
            <v>EGD-0638</v>
          </cell>
          <cell r="B639" t="str">
            <v>AUTO</v>
          </cell>
          <cell r="C639" t="str">
            <v>ALL</v>
          </cell>
        </row>
        <row r="640">
          <cell r="A640" t="str">
            <v>EGD-0639</v>
          </cell>
          <cell r="B640" t="str">
            <v>OBS1</v>
          </cell>
          <cell r="C640" t="str">
            <v>T2</v>
          </cell>
        </row>
        <row r="641">
          <cell r="A641" t="str">
            <v>EGD-0640</v>
          </cell>
          <cell r="B641" t="str">
            <v>AUTO</v>
          </cell>
          <cell r="C641" t="str">
            <v>ALL</v>
          </cell>
        </row>
        <row r="642">
          <cell r="A642" t="str">
            <v>EGD-0641</v>
          </cell>
          <cell r="B642" t="str">
            <v>OBS1</v>
          </cell>
          <cell r="C642" t="str">
            <v>T2</v>
          </cell>
        </row>
        <row r="643">
          <cell r="A643" t="str">
            <v>EGD-0642</v>
          </cell>
          <cell r="B643" t="str">
            <v>AUTO</v>
          </cell>
          <cell r="C643" t="str">
            <v>ALL</v>
          </cell>
        </row>
        <row r="644">
          <cell r="A644" t="str">
            <v>EGD-0643</v>
          </cell>
          <cell r="B644" t="str">
            <v>AUTO</v>
          </cell>
          <cell r="C644" t="str">
            <v>ALL</v>
          </cell>
        </row>
        <row r="645">
          <cell r="A645" t="str">
            <v>EGD-0644</v>
          </cell>
          <cell r="B645" t="str">
            <v>AUTO</v>
          </cell>
          <cell r="C645" t="str">
            <v>ALL</v>
          </cell>
        </row>
        <row r="646">
          <cell r="A646" t="str">
            <v>EGD-0645</v>
          </cell>
          <cell r="B646" t="str">
            <v>OBS1</v>
          </cell>
          <cell r="C646" t="str">
            <v>FLAIR</v>
          </cell>
        </row>
        <row r="647">
          <cell r="A647" t="str">
            <v>EGD-0646</v>
          </cell>
          <cell r="B647" t="str">
            <v>AUTO</v>
          </cell>
          <cell r="C647" t="str">
            <v>ALL</v>
          </cell>
        </row>
        <row r="648">
          <cell r="A648" t="str">
            <v>EGD-0647</v>
          </cell>
          <cell r="B648" t="str">
            <v>AUTO</v>
          </cell>
          <cell r="C648" t="str">
            <v>ALL</v>
          </cell>
        </row>
        <row r="649">
          <cell r="A649" t="str">
            <v>EGD-0648</v>
          </cell>
          <cell r="B649" t="str">
            <v>OBS1</v>
          </cell>
          <cell r="C649" t="str">
            <v>T2</v>
          </cell>
        </row>
        <row r="650">
          <cell r="A650" t="str">
            <v>EGD-0649</v>
          </cell>
          <cell r="B650" t="str">
            <v>AUTO</v>
          </cell>
          <cell r="C650" t="str">
            <v>ALL</v>
          </cell>
        </row>
        <row r="651">
          <cell r="A651" t="str">
            <v>EGD-0650</v>
          </cell>
          <cell r="B651" t="str">
            <v>AUTO</v>
          </cell>
          <cell r="C651" t="str">
            <v>ALL</v>
          </cell>
        </row>
        <row r="652">
          <cell r="A652" t="str">
            <v>EGD-0651</v>
          </cell>
          <cell r="B652" t="str">
            <v>AUTO</v>
          </cell>
          <cell r="C652" t="str">
            <v>ALL</v>
          </cell>
        </row>
        <row r="653">
          <cell r="A653" t="str">
            <v>EGD-0652</v>
          </cell>
          <cell r="B653" t="str">
            <v>AUTO</v>
          </cell>
          <cell r="C653" t="str">
            <v>ALL</v>
          </cell>
        </row>
        <row r="654">
          <cell r="A654" t="str">
            <v>EGD-0653</v>
          </cell>
          <cell r="B654" t="str">
            <v>AUTO</v>
          </cell>
          <cell r="C654" t="str">
            <v>ALL</v>
          </cell>
        </row>
        <row r="655">
          <cell r="A655" t="str">
            <v>EGD-0654</v>
          </cell>
          <cell r="B655" t="str">
            <v>AUTO</v>
          </cell>
          <cell r="C655" t="str">
            <v>ALL</v>
          </cell>
        </row>
        <row r="656">
          <cell r="A656" t="str">
            <v>EGD-0655</v>
          </cell>
          <cell r="B656" t="str">
            <v>OBS2</v>
          </cell>
          <cell r="C656" t="str">
            <v>FLAIR</v>
          </cell>
        </row>
        <row r="657">
          <cell r="A657" t="str">
            <v>EGD-0656</v>
          </cell>
          <cell r="B657" t="str">
            <v>AUTO</v>
          </cell>
          <cell r="C657" t="str">
            <v>ALL</v>
          </cell>
        </row>
        <row r="658">
          <cell r="A658" t="str">
            <v>EGD-0657</v>
          </cell>
          <cell r="B658" t="str">
            <v>OBS1</v>
          </cell>
          <cell r="C658" t="str">
            <v>FLAIR</v>
          </cell>
        </row>
        <row r="659">
          <cell r="A659" t="str">
            <v>EGD-0658</v>
          </cell>
          <cell r="B659" t="str">
            <v>OBS1</v>
          </cell>
          <cell r="C659" t="str">
            <v>T2</v>
          </cell>
        </row>
        <row r="660">
          <cell r="A660" t="str">
            <v>EGD-0659</v>
          </cell>
          <cell r="B660" t="str">
            <v>OBS1</v>
          </cell>
          <cell r="C660" t="str">
            <v>T2</v>
          </cell>
        </row>
        <row r="661">
          <cell r="A661" t="str">
            <v>EGD-0660</v>
          </cell>
          <cell r="B661" t="str">
            <v>AUTO</v>
          </cell>
          <cell r="C661" t="str">
            <v>ALL</v>
          </cell>
        </row>
        <row r="662">
          <cell r="A662" t="str">
            <v>EGD-0661</v>
          </cell>
          <cell r="B662" t="str">
            <v>OBS2</v>
          </cell>
          <cell r="C662" t="str">
            <v>FLAIR</v>
          </cell>
        </row>
        <row r="663">
          <cell r="A663" t="str">
            <v>EGD-0662</v>
          </cell>
          <cell r="B663" t="str">
            <v>OBS1</v>
          </cell>
          <cell r="C663" t="str">
            <v>T2</v>
          </cell>
        </row>
        <row r="664">
          <cell r="A664" t="str">
            <v>EGD-0663</v>
          </cell>
          <cell r="B664" t="str">
            <v>OBS1</v>
          </cell>
          <cell r="C664" t="str">
            <v>FLAIR</v>
          </cell>
        </row>
        <row r="665">
          <cell r="A665" t="str">
            <v>EGD-0664</v>
          </cell>
          <cell r="B665" t="str">
            <v>OBS1</v>
          </cell>
          <cell r="C665" t="str">
            <v>T2</v>
          </cell>
        </row>
        <row r="666">
          <cell r="A666" t="str">
            <v>EGD-0665</v>
          </cell>
          <cell r="B666" t="str">
            <v>OBS1</v>
          </cell>
          <cell r="C666" t="str">
            <v>T2</v>
          </cell>
        </row>
        <row r="667">
          <cell r="A667" t="str">
            <v>EGD-0666</v>
          </cell>
          <cell r="B667" t="str">
            <v>OBS1</v>
          </cell>
          <cell r="C667" t="str">
            <v>T2</v>
          </cell>
        </row>
        <row r="668">
          <cell r="A668" t="str">
            <v>EGD-0667</v>
          </cell>
          <cell r="B668" t="str">
            <v>OBS1</v>
          </cell>
          <cell r="C668" t="str">
            <v>T2</v>
          </cell>
        </row>
        <row r="669">
          <cell r="A669" t="str">
            <v>EGD-0668</v>
          </cell>
          <cell r="B669" t="str">
            <v>AUTO</v>
          </cell>
          <cell r="C669" t="str">
            <v>ALL</v>
          </cell>
        </row>
        <row r="670">
          <cell r="A670" t="str">
            <v>EGD-0669</v>
          </cell>
          <cell r="B670" t="str">
            <v>OBS1</v>
          </cell>
          <cell r="C670" t="str">
            <v>T2</v>
          </cell>
        </row>
        <row r="671">
          <cell r="A671" t="str">
            <v>EGD-0670</v>
          </cell>
          <cell r="B671" t="str">
            <v>OBS1</v>
          </cell>
          <cell r="C671" t="str">
            <v>T2</v>
          </cell>
        </row>
        <row r="672">
          <cell r="A672" t="str">
            <v>EGD-0671</v>
          </cell>
          <cell r="B672" t="str">
            <v>OBS1</v>
          </cell>
          <cell r="C672" t="str">
            <v>FLAIR</v>
          </cell>
        </row>
        <row r="673">
          <cell r="A673" t="str">
            <v>EGD-0672</v>
          </cell>
          <cell r="B673" t="str">
            <v>AUTO</v>
          </cell>
          <cell r="C673" t="str">
            <v>ALL</v>
          </cell>
        </row>
        <row r="674">
          <cell r="A674" t="str">
            <v>EGD-0673</v>
          </cell>
          <cell r="B674" t="str">
            <v>OBS1</v>
          </cell>
          <cell r="C674" t="str">
            <v>T2</v>
          </cell>
        </row>
        <row r="675">
          <cell r="A675" t="str">
            <v>EGD-0674</v>
          </cell>
          <cell r="B675" t="str">
            <v>AUTO</v>
          </cell>
          <cell r="C675" t="str">
            <v>ALL</v>
          </cell>
        </row>
        <row r="676">
          <cell r="A676" t="str">
            <v>EGD-0675</v>
          </cell>
          <cell r="B676" t="str">
            <v>OBS1</v>
          </cell>
          <cell r="C676" t="str">
            <v>FLAIR</v>
          </cell>
        </row>
        <row r="677">
          <cell r="A677" t="str">
            <v>EGD-0676</v>
          </cell>
          <cell r="B677" t="str">
            <v>OBS1</v>
          </cell>
          <cell r="C677" t="str">
            <v>T2</v>
          </cell>
        </row>
        <row r="678">
          <cell r="A678" t="str">
            <v>EGD-0677</v>
          </cell>
          <cell r="B678" t="str">
            <v>AUTO</v>
          </cell>
          <cell r="C678" t="str">
            <v>ALL</v>
          </cell>
        </row>
        <row r="679">
          <cell r="A679" t="str">
            <v>EGD-0678</v>
          </cell>
          <cell r="B679" t="str">
            <v>AUTO</v>
          </cell>
          <cell r="C679" t="str">
            <v>ALL</v>
          </cell>
        </row>
        <row r="680">
          <cell r="A680" t="str">
            <v>EGD-0679</v>
          </cell>
          <cell r="B680" t="str">
            <v>AUTO</v>
          </cell>
          <cell r="C680" t="str">
            <v>ALL</v>
          </cell>
        </row>
        <row r="681">
          <cell r="A681" t="str">
            <v>EGD-0680</v>
          </cell>
          <cell r="B681" t="str">
            <v>AUTO</v>
          </cell>
          <cell r="C681" t="str">
            <v>ALL</v>
          </cell>
        </row>
        <row r="682">
          <cell r="A682" t="str">
            <v>EGD-0681</v>
          </cell>
          <cell r="B682" t="str">
            <v>AUTO</v>
          </cell>
          <cell r="C682" t="str">
            <v>ALL</v>
          </cell>
        </row>
        <row r="683">
          <cell r="A683" t="str">
            <v>EGD-0682</v>
          </cell>
          <cell r="B683" t="str">
            <v>AUTO</v>
          </cell>
          <cell r="C683" t="str">
            <v>ALL</v>
          </cell>
        </row>
        <row r="684">
          <cell r="A684" t="str">
            <v>EGD-0683</v>
          </cell>
          <cell r="B684" t="str">
            <v>AUTO</v>
          </cell>
          <cell r="C684" t="str">
            <v>ALL</v>
          </cell>
        </row>
        <row r="685">
          <cell r="A685" t="str">
            <v>EGD-0684</v>
          </cell>
          <cell r="B685" t="str">
            <v>AUTO</v>
          </cell>
          <cell r="C685" t="str">
            <v>ALL</v>
          </cell>
        </row>
        <row r="686">
          <cell r="A686" t="str">
            <v>EGD-0685</v>
          </cell>
          <cell r="B686" t="str">
            <v>AUTO</v>
          </cell>
          <cell r="C686" t="str">
            <v>ALL</v>
          </cell>
        </row>
        <row r="687">
          <cell r="A687" t="str">
            <v>EGD-0686</v>
          </cell>
          <cell r="B687" t="str">
            <v>OBS1</v>
          </cell>
          <cell r="C687" t="str">
            <v>T2</v>
          </cell>
        </row>
        <row r="688">
          <cell r="A688" t="str">
            <v>EGD-0687</v>
          </cell>
          <cell r="B688" t="str">
            <v>OBS1</v>
          </cell>
          <cell r="C688" t="str">
            <v>T2</v>
          </cell>
        </row>
        <row r="689">
          <cell r="A689" t="str">
            <v>EGD-0688</v>
          </cell>
          <cell r="B689" t="str">
            <v>OBS2</v>
          </cell>
          <cell r="C689" t="str">
            <v>FLAIR</v>
          </cell>
        </row>
        <row r="690">
          <cell r="A690" t="str">
            <v>EGD-0689</v>
          </cell>
          <cell r="B690" t="str">
            <v>OBS2</v>
          </cell>
          <cell r="C690" t="str">
            <v>FLAIR</v>
          </cell>
        </row>
        <row r="691">
          <cell r="A691" t="str">
            <v>EGD-0690</v>
          </cell>
          <cell r="B691" t="str">
            <v>AUTO</v>
          </cell>
          <cell r="C691" t="str">
            <v>ALL</v>
          </cell>
        </row>
        <row r="692">
          <cell r="A692" t="str">
            <v>EGD-0691</v>
          </cell>
          <cell r="B692" t="str">
            <v>OBS1</v>
          </cell>
          <cell r="C692" t="str">
            <v>T2</v>
          </cell>
        </row>
        <row r="693">
          <cell r="A693" t="str">
            <v>EGD-0692</v>
          </cell>
          <cell r="B693" t="str">
            <v>OBS1</v>
          </cell>
          <cell r="C693" t="str">
            <v>T2</v>
          </cell>
        </row>
        <row r="694">
          <cell r="A694" t="str">
            <v>EGD-0693</v>
          </cell>
          <cell r="B694" t="str">
            <v>OBS1</v>
          </cell>
          <cell r="C694" t="str">
            <v>T2</v>
          </cell>
        </row>
        <row r="695">
          <cell r="A695" t="str">
            <v>EGD-0694</v>
          </cell>
          <cell r="B695" t="str">
            <v>OBS1</v>
          </cell>
          <cell r="C695" t="str">
            <v>T2</v>
          </cell>
        </row>
        <row r="696">
          <cell r="A696" t="str">
            <v>EGD-0695</v>
          </cell>
          <cell r="B696" t="str">
            <v>OBS1</v>
          </cell>
          <cell r="C696" t="str">
            <v>T2</v>
          </cell>
        </row>
        <row r="697">
          <cell r="A697" t="str">
            <v>EGD-0696</v>
          </cell>
          <cell r="B697" t="str">
            <v>AUTO</v>
          </cell>
          <cell r="C697" t="str">
            <v>ALL</v>
          </cell>
        </row>
        <row r="698">
          <cell r="A698" t="str">
            <v>EGD-0697</v>
          </cell>
          <cell r="B698" t="str">
            <v>OBS1</v>
          </cell>
          <cell r="C698" t="str">
            <v>T2</v>
          </cell>
        </row>
        <row r="699">
          <cell r="A699" t="str">
            <v>EGD-0698</v>
          </cell>
          <cell r="B699" t="str">
            <v>OBS1</v>
          </cell>
          <cell r="C699" t="str">
            <v>T2</v>
          </cell>
        </row>
        <row r="700">
          <cell r="A700" t="str">
            <v>EGD-0699</v>
          </cell>
          <cell r="B700" t="str">
            <v>OBS1</v>
          </cell>
          <cell r="C700" t="str">
            <v>FLAIR</v>
          </cell>
        </row>
        <row r="701">
          <cell r="A701" t="str">
            <v>EGD-0700</v>
          </cell>
          <cell r="B701" t="str">
            <v>OBS1</v>
          </cell>
          <cell r="C701" t="str">
            <v>FLAIR</v>
          </cell>
        </row>
        <row r="702">
          <cell r="A702" t="str">
            <v>EGD-0701</v>
          </cell>
          <cell r="B702" t="str">
            <v>AUTO</v>
          </cell>
          <cell r="C702" t="str">
            <v>ALL</v>
          </cell>
        </row>
        <row r="703">
          <cell r="A703" t="str">
            <v>EGD-0702</v>
          </cell>
          <cell r="B703" t="str">
            <v>OBS1</v>
          </cell>
          <cell r="C703" t="str">
            <v>T2</v>
          </cell>
        </row>
        <row r="704">
          <cell r="A704" t="str">
            <v>EGD-0703</v>
          </cell>
          <cell r="B704" t="str">
            <v>AUTO</v>
          </cell>
          <cell r="C704" t="str">
            <v>ALL</v>
          </cell>
        </row>
        <row r="705">
          <cell r="A705" t="str">
            <v>EGD-0704</v>
          </cell>
          <cell r="B705" t="str">
            <v>AUTO</v>
          </cell>
          <cell r="C705" t="str">
            <v>ALL</v>
          </cell>
        </row>
        <row r="706">
          <cell r="A706" t="str">
            <v>EGD-0705</v>
          </cell>
          <cell r="B706" t="str">
            <v>OBS2</v>
          </cell>
          <cell r="C706" t="str">
            <v>FLAIR</v>
          </cell>
        </row>
        <row r="707">
          <cell r="A707" t="str">
            <v>EGD-0706</v>
          </cell>
          <cell r="B707" t="str">
            <v>OBS1</v>
          </cell>
          <cell r="C707" t="str">
            <v>FLAIR</v>
          </cell>
        </row>
        <row r="708">
          <cell r="A708" t="str">
            <v>EGD-0707</v>
          </cell>
          <cell r="B708" t="str">
            <v>AUTO</v>
          </cell>
          <cell r="C708" t="str">
            <v>ALL</v>
          </cell>
        </row>
        <row r="709">
          <cell r="A709" t="str">
            <v>EGD-0708</v>
          </cell>
          <cell r="B709" t="str">
            <v>AUTO</v>
          </cell>
          <cell r="C709" t="str">
            <v>ALL</v>
          </cell>
        </row>
        <row r="710">
          <cell r="A710" t="str">
            <v>EGD-0709</v>
          </cell>
          <cell r="B710" t="str">
            <v>OBS1</v>
          </cell>
          <cell r="C710" t="str">
            <v>T2</v>
          </cell>
        </row>
        <row r="711">
          <cell r="A711" t="str">
            <v>EGD-0710</v>
          </cell>
          <cell r="B711" t="str">
            <v>OBS1</v>
          </cell>
          <cell r="C711" t="str">
            <v>T2</v>
          </cell>
        </row>
        <row r="712">
          <cell r="A712" t="str">
            <v>EGD-0711</v>
          </cell>
          <cell r="B712" t="str">
            <v>AUTO</v>
          </cell>
          <cell r="C712" t="str">
            <v>ALL</v>
          </cell>
        </row>
        <row r="713">
          <cell r="A713" t="str">
            <v>EGD-0712</v>
          </cell>
          <cell r="B713" t="str">
            <v>AUTO</v>
          </cell>
          <cell r="C713" t="str">
            <v>ALL</v>
          </cell>
        </row>
        <row r="714">
          <cell r="A714" t="str">
            <v>EGD-0713</v>
          </cell>
          <cell r="B714" t="str">
            <v>AUTO</v>
          </cell>
          <cell r="C714" t="str">
            <v>ALL</v>
          </cell>
        </row>
        <row r="715">
          <cell r="A715" t="str">
            <v>EGD-0714</v>
          </cell>
          <cell r="B715" t="str">
            <v>AUTO</v>
          </cell>
          <cell r="C715" t="str">
            <v>ALL</v>
          </cell>
        </row>
        <row r="716">
          <cell r="A716" t="str">
            <v>EGD-0715</v>
          </cell>
          <cell r="B716" t="str">
            <v>AUTO</v>
          </cell>
          <cell r="C716" t="str">
            <v>ALL</v>
          </cell>
        </row>
        <row r="717">
          <cell r="A717" t="str">
            <v>EGD-0716</v>
          </cell>
          <cell r="B717" t="str">
            <v>AUTO</v>
          </cell>
          <cell r="C717" t="str">
            <v>ALL</v>
          </cell>
        </row>
        <row r="718">
          <cell r="A718" t="str">
            <v>EGD-0717</v>
          </cell>
          <cell r="B718" t="str">
            <v>OBS1</v>
          </cell>
          <cell r="C718" t="str">
            <v>FLAIR</v>
          </cell>
        </row>
        <row r="719">
          <cell r="A719" t="str">
            <v>EGD-0718</v>
          </cell>
          <cell r="B719" t="str">
            <v>AUTO</v>
          </cell>
          <cell r="C719" t="str">
            <v>ALL</v>
          </cell>
        </row>
        <row r="720">
          <cell r="A720" t="str">
            <v>EGD-0719</v>
          </cell>
          <cell r="B720" t="str">
            <v>AUTO</v>
          </cell>
          <cell r="C720" t="str">
            <v>ALL</v>
          </cell>
        </row>
        <row r="721">
          <cell r="A721" t="str">
            <v>EGD-0720</v>
          </cell>
          <cell r="B721" t="str">
            <v>AUTO</v>
          </cell>
          <cell r="C721" t="str">
            <v>ALL</v>
          </cell>
        </row>
        <row r="722">
          <cell r="A722" t="str">
            <v>EGD-0721</v>
          </cell>
          <cell r="B722" t="str">
            <v>AUTO</v>
          </cell>
          <cell r="C722" t="str">
            <v>ALL</v>
          </cell>
        </row>
        <row r="723">
          <cell r="A723" t="str">
            <v>EGD-0722</v>
          </cell>
          <cell r="B723" t="str">
            <v>AUTO</v>
          </cell>
          <cell r="C723" t="str">
            <v>ALL</v>
          </cell>
        </row>
        <row r="724">
          <cell r="A724" t="str">
            <v>EGD-0723</v>
          </cell>
          <cell r="B724" t="str">
            <v>OBS1</v>
          </cell>
          <cell r="C724" t="str">
            <v>T2</v>
          </cell>
        </row>
        <row r="725">
          <cell r="A725" t="str">
            <v>EGD-0724</v>
          </cell>
          <cell r="B725" t="str">
            <v>OBS1</v>
          </cell>
          <cell r="C725" t="str">
            <v>T2</v>
          </cell>
        </row>
        <row r="726">
          <cell r="A726" t="str">
            <v>EGD-0725</v>
          </cell>
          <cell r="B726" t="str">
            <v>AUTO</v>
          </cell>
          <cell r="C726" t="str">
            <v>ALL</v>
          </cell>
        </row>
        <row r="727">
          <cell r="A727" t="str">
            <v>EGD-0726</v>
          </cell>
          <cell r="B727" t="str">
            <v>AUTO</v>
          </cell>
          <cell r="C727" t="str">
            <v>ALL</v>
          </cell>
        </row>
        <row r="728">
          <cell r="A728" t="str">
            <v>EGD-0727</v>
          </cell>
          <cell r="B728" t="str">
            <v>AUTO</v>
          </cell>
          <cell r="C728" t="str">
            <v>ALL</v>
          </cell>
        </row>
        <row r="729">
          <cell r="A729" t="str">
            <v>EGD-0728</v>
          </cell>
          <cell r="B729" t="str">
            <v>OBS1</v>
          </cell>
          <cell r="C729" t="str">
            <v>T2</v>
          </cell>
        </row>
        <row r="730">
          <cell r="A730" t="str">
            <v>EGD-0729</v>
          </cell>
          <cell r="B730" t="str">
            <v>OBS1</v>
          </cell>
          <cell r="C730" t="str">
            <v>T2</v>
          </cell>
        </row>
        <row r="731">
          <cell r="A731" t="str">
            <v>EGD-0730</v>
          </cell>
          <cell r="B731" t="str">
            <v>OBS2</v>
          </cell>
          <cell r="C731" t="str">
            <v>FLAIR</v>
          </cell>
        </row>
        <row r="732">
          <cell r="A732" t="str">
            <v>EGD-0731</v>
          </cell>
          <cell r="B732" t="str">
            <v>AUTO</v>
          </cell>
          <cell r="C732" t="str">
            <v>ALL</v>
          </cell>
        </row>
        <row r="733">
          <cell r="A733" t="str">
            <v>EGD-0732</v>
          </cell>
          <cell r="B733" t="str">
            <v>AUTO</v>
          </cell>
          <cell r="C733" t="str">
            <v>ALL</v>
          </cell>
        </row>
        <row r="734">
          <cell r="A734" t="str">
            <v>EGD-0733</v>
          </cell>
          <cell r="B734" t="str">
            <v>AUTO</v>
          </cell>
          <cell r="C734" t="str">
            <v>ALL</v>
          </cell>
        </row>
        <row r="735">
          <cell r="A735" t="str">
            <v>EGD-0734</v>
          </cell>
          <cell r="B735" t="str">
            <v>AUTO</v>
          </cell>
          <cell r="C735" t="str">
            <v>ALL</v>
          </cell>
        </row>
        <row r="736">
          <cell r="A736" t="str">
            <v>EGD-0735</v>
          </cell>
          <cell r="B736" t="str">
            <v>OBS1</v>
          </cell>
          <cell r="C736" t="str">
            <v>T2</v>
          </cell>
        </row>
        <row r="737">
          <cell r="A737" t="str">
            <v>EGD-0736</v>
          </cell>
          <cell r="B737" t="str">
            <v>OBS1</v>
          </cell>
          <cell r="C737" t="str">
            <v>T2</v>
          </cell>
        </row>
        <row r="738">
          <cell r="A738" t="str">
            <v>EGD-0737</v>
          </cell>
          <cell r="B738" t="str">
            <v>OBS1</v>
          </cell>
          <cell r="C738" t="str">
            <v>FLAIR</v>
          </cell>
        </row>
        <row r="739">
          <cell r="A739" t="str">
            <v>EGD-0738</v>
          </cell>
          <cell r="B739" t="str">
            <v>OBS1</v>
          </cell>
          <cell r="C739" t="str">
            <v>T2</v>
          </cell>
        </row>
        <row r="740">
          <cell r="A740" t="str">
            <v>EGD-0739</v>
          </cell>
          <cell r="B740" t="str">
            <v>OBS1</v>
          </cell>
          <cell r="C740" t="str">
            <v>FLAIR</v>
          </cell>
        </row>
        <row r="741">
          <cell r="A741" t="str">
            <v>EGD-0740</v>
          </cell>
          <cell r="B741" t="str">
            <v>OBS1</v>
          </cell>
          <cell r="C741" t="str">
            <v>T2</v>
          </cell>
        </row>
        <row r="742">
          <cell r="A742" t="str">
            <v>EGD-0741</v>
          </cell>
          <cell r="B742" t="str">
            <v>AUTO</v>
          </cell>
          <cell r="C742" t="str">
            <v>ALL</v>
          </cell>
        </row>
        <row r="743">
          <cell r="A743" t="str">
            <v>EGD-0742</v>
          </cell>
          <cell r="B743" t="str">
            <v>OBS1</v>
          </cell>
          <cell r="C743" t="str">
            <v>T2</v>
          </cell>
        </row>
        <row r="744">
          <cell r="A744" t="str">
            <v>EGD-0743</v>
          </cell>
          <cell r="B744" t="str">
            <v>AUTO</v>
          </cell>
          <cell r="C744" t="str">
            <v>ALL</v>
          </cell>
        </row>
        <row r="745">
          <cell r="A745" t="str">
            <v>EGD-0744</v>
          </cell>
          <cell r="B745" t="str">
            <v>OBS1</v>
          </cell>
          <cell r="C745" t="str">
            <v>T2</v>
          </cell>
        </row>
        <row r="746">
          <cell r="A746" t="str">
            <v>EGD-0745</v>
          </cell>
          <cell r="B746" t="str">
            <v>OBS1</v>
          </cell>
          <cell r="C746" t="str">
            <v>FLAIR</v>
          </cell>
        </row>
        <row r="747">
          <cell r="A747" t="str">
            <v>EGD-0746</v>
          </cell>
          <cell r="B747" t="str">
            <v>AUTO</v>
          </cell>
          <cell r="C747" t="str">
            <v>ALL</v>
          </cell>
        </row>
        <row r="748">
          <cell r="A748" t="str">
            <v>EGD-0747</v>
          </cell>
          <cell r="B748" t="str">
            <v>AUTO</v>
          </cell>
          <cell r="C748" t="str">
            <v>ALL</v>
          </cell>
        </row>
        <row r="749">
          <cell r="A749" t="str">
            <v>EGD-0748</v>
          </cell>
          <cell r="B749" t="str">
            <v>AUTO</v>
          </cell>
          <cell r="C749" t="str">
            <v>ALL</v>
          </cell>
        </row>
        <row r="750">
          <cell r="A750" t="str">
            <v>EGD-0749</v>
          </cell>
          <cell r="B750" t="str">
            <v>AUTO</v>
          </cell>
          <cell r="C750" t="str">
            <v>ALL</v>
          </cell>
        </row>
        <row r="751">
          <cell r="A751" t="str">
            <v>EGD-0750</v>
          </cell>
          <cell r="B751" t="str">
            <v>AUTO</v>
          </cell>
          <cell r="C751" t="str">
            <v>ALL</v>
          </cell>
        </row>
        <row r="752">
          <cell r="A752" t="str">
            <v>EGD-0751</v>
          </cell>
          <cell r="B752" t="str">
            <v>AUTO</v>
          </cell>
          <cell r="C752" t="str">
            <v>ALL</v>
          </cell>
        </row>
        <row r="753">
          <cell r="A753" t="str">
            <v>EGD-0752</v>
          </cell>
          <cell r="B753" t="str">
            <v>OBS1</v>
          </cell>
          <cell r="C753" t="str">
            <v>T2</v>
          </cell>
        </row>
        <row r="754">
          <cell r="A754" t="str">
            <v>EGD-0753</v>
          </cell>
          <cell r="B754" t="str">
            <v>OBS1</v>
          </cell>
          <cell r="C754" t="str">
            <v>T2</v>
          </cell>
        </row>
        <row r="755">
          <cell r="A755" t="str">
            <v>EGD-0754</v>
          </cell>
          <cell r="B755" t="str">
            <v>OBS1</v>
          </cell>
          <cell r="C755" t="str">
            <v>T2</v>
          </cell>
        </row>
        <row r="756">
          <cell r="A756" t="str">
            <v>EGD-0755</v>
          </cell>
          <cell r="B756" t="str">
            <v>AUTO</v>
          </cell>
          <cell r="C756" t="str">
            <v>ALL</v>
          </cell>
        </row>
        <row r="757">
          <cell r="A757" t="str">
            <v>EGD-0756</v>
          </cell>
          <cell r="B757" t="str">
            <v>AUTO</v>
          </cell>
          <cell r="C757" t="str">
            <v>ALL</v>
          </cell>
        </row>
        <row r="758">
          <cell r="A758" t="str">
            <v>EGD-0757</v>
          </cell>
          <cell r="B758" t="str">
            <v>AUTO</v>
          </cell>
          <cell r="C758" t="str">
            <v>ALL</v>
          </cell>
        </row>
        <row r="759">
          <cell r="A759" t="str">
            <v>EGD-0758</v>
          </cell>
          <cell r="B759" t="str">
            <v>OBS2</v>
          </cell>
          <cell r="C759" t="str">
            <v>FLAIR</v>
          </cell>
        </row>
        <row r="760">
          <cell r="A760" t="str">
            <v>EGD-0759</v>
          </cell>
          <cell r="B760" t="str">
            <v>AUTO</v>
          </cell>
          <cell r="C760" t="str">
            <v>ALL</v>
          </cell>
        </row>
        <row r="761">
          <cell r="A761" t="str">
            <v>EGD-0760</v>
          </cell>
          <cell r="B761" t="str">
            <v>AUTO</v>
          </cell>
          <cell r="C761" t="str">
            <v>ALL</v>
          </cell>
        </row>
        <row r="762">
          <cell r="A762" t="str">
            <v>EGD-0761</v>
          </cell>
          <cell r="B762" t="str">
            <v>AUTO</v>
          </cell>
          <cell r="C762" t="str">
            <v>ALL</v>
          </cell>
        </row>
        <row r="763">
          <cell r="A763" t="str">
            <v>EGD-0762</v>
          </cell>
          <cell r="B763" t="str">
            <v>OBS1</v>
          </cell>
          <cell r="C763" t="str">
            <v>T2</v>
          </cell>
        </row>
        <row r="764">
          <cell r="A764" t="str">
            <v>EGD-0763</v>
          </cell>
          <cell r="B764" t="str">
            <v>OBS1</v>
          </cell>
          <cell r="C764" t="str">
            <v>T2</v>
          </cell>
        </row>
        <row r="765">
          <cell r="A765" t="str">
            <v>EGD-0764</v>
          </cell>
          <cell r="B765" t="str">
            <v>OBS1</v>
          </cell>
          <cell r="C765" t="str">
            <v>T2</v>
          </cell>
        </row>
        <row r="766">
          <cell r="A766" t="str">
            <v>EGD-0765</v>
          </cell>
          <cell r="B766" t="str">
            <v>OBS1</v>
          </cell>
          <cell r="C766" t="str">
            <v>T2</v>
          </cell>
        </row>
        <row r="767">
          <cell r="A767" t="str">
            <v>EGD-0766</v>
          </cell>
          <cell r="B767" t="str">
            <v>AUTO</v>
          </cell>
          <cell r="C767" t="str">
            <v>ALL</v>
          </cell>
        </row>
        <row r="768">
          <cell r="A768" t="str">
            <v>EGD-0767</v>
          </cell>
          <cell r="B768" t="str">
            <v>AUTO</v>
          </cell>
          <cell r="C768" t="str">
            <v>ALL</v>
          </cell>
        </row>
        <row r="769">
          <cell r="A769" t="str">
            <v>EGD-0768</v>
          </cell>
          <cell r="B769" t="str">
            <v>OBS1</v>
          </cell>
          <cell r="C769" t="str">
            <v>FLAIR</v>
          </cell>
        </row>
        <row r="770">
          <cell r="A770" t="str">
            <v>EGD-0769</v>
          </cell>
          <cell r="B770" t="str">
            <v>AUTO</v>
          </cell>
          <cell r="C770" t="str">
            <v>ALL</v>
          </cell>
        </row>
        <row r="771">
          <cell r="A771" t="str">
            <v>EGD-0770</v>
          </cell>
          <cell r="B771" t="str">
            <v>AUTO</v>
          </cell>
          <cell r="C771" t="str">
            <v>ALL</v>
          </cell>
        </row>
        <row r="772">
          <cell r="A772" t="str">
            <v>EGD-0771</v>
          </cell>
          <cell r="B772" t="str">
            <v>AUTO</v>
          </cell>
          <cell r="C772" t="str">
            <v>ALL</v>
          </cell>
        </row>
        <row r="773">
          <cell r="A773" t="str">
            <v>EGD-0772</v>
          </cell>
          <cell r="B773" t="str">
            <v>AUTO</v>
          </cell>
          <cell r="C773" t="str">
            <v>ALL</v>
          </cell>
        </row>
        <row r="774">
          <cell r="A774" t="str">
            <v>EGD-0773</v>
          </cell>
          <cell r="B774" t="str">
            <v>OBS1</v>
          </cell>
          <cell r="C774" t="str">
            <v>FLAIR</v>
          </cell>
        </row>
        <row r="775">
          <cell r="A775" t="str">
            <v>EGD-0774</v>
          </cell>
          <cell r="B775" t="str">
            <v>AUTO</v>
          </cell>
          <cell r="C775" t="str">
            <v>ALL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75"/>
  <sheetViews>
    <sheetView tabSelected="1" topLeftCell="A739" zoomScaleNormal="100" workbookViewId="0">
      <selection activeCell="M764" sqref="M764"/>
    </sheetView>
  </sheetViews>
  <sheetFormatPr defaultRowHeight="15" x14ac:dyDescent="0.25"/>
  <cols>
    <col min="1" max="1" width="11.42578125"/>
    <col min="2" max="2" width="11.5703125"/>
    <col min="3" max="3" width="7.7109375" customWidth="1"/>
    <col min="4" max="1025" width="8.7109375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t="str">
        <f>VLOOKUP(A1,[1]Sheet1!$A:$D,2,FALSE)</f>
        <v>Manufacturer</v>
      </c>
      <c r="E1" t="str">
        <f>VLOOKUP(A1,[1]Sheet1!$A:$D,3,FALSE)</f>
        <v>System</v>
      </c>
      <c r="F1" t="str">
        <f>VLOOKUP(A1,[1]Sheet1!$A:$D,4,FALSE)</f>
        <v>Field</v>
      </c>
      <c r="G1" t="str">
        <f>VLOOKUP(A1,[2]Sheet1!$A:$D,2,FALSE)</f>
        <v>IDH</v>
      </c>
      <c r="H1" t="str">
        <f>VLOOKUP(A1,[2]Sheet1!$A:$D,3,FALSE)</f>
        <v>1p19q</v>
      </c>
      <c r="I1" t="str">
        <f>VLOOKUP(A1,[2]Sheet1!$A:$D,4,FALSE)</f>
        <v>Grade</v>
      </c>
      <c r="J1" t="str">
        <f>VLOOKUP(A1,[3]Sheet1!$A:$C,2,FALSE)</f>
        <v>Observer</v>
      </c>
      <c r="K1" t="str">
        <f>VLOOKUP(A1,[3]Sheet1!$A:$C,3,FALSE)</f>
        <v>Original scan</v>
      </c>
    </row>
    <row r="2" spans="1:11" x14ac:dyDescent="0.25">
      <c r="A2" s="2" t="s">
        <v>3</v>
      </c>
      <c r="B2">
        <v>77</v>
      </c>
      <c r="C2" t="s">
        <v>4</v>
      </c>
      <c r="D2" t="str">
        <f>VLOOKUP(A2,[1]Sheet1!$A:$D,2,FALSE)</f>
        <v>SIEMENS</v>
      </c>
      <c r="E2" t="str">
        <f>VLOOKUP(A2,[1]Sheet1!$A:$D,3,FALSE)</f>
        <v>Symphony</v>
      </c>
      <c r="F2">
        <f>VLOOKUP(A2,[1]Sheet1!$A:$D,4,FALSE)</f>
        <v>1.5</v>
      </c>
      <c r="G2">
        <f>VLOOKUP(A2,[2]Sheet1!$A:$D,2,FALSE)</f>
        <v>-1</v>
      </c>
      <c r="H2">
        <f>VLOOKUP(A2,[2]Sheet1!$A:$D,3,FALSE)</f>
        <v>-1</v>
      </c>
      <c r="I2">
        <f>VLOOKUP(A2,[2]Sheet1!$A:$D,4,FALSE)</f>
        <v>4</v>
      </c>
      <c r="J2" t="str">
        <f>VLOOKUP(A2,[3]Sheet1!$A:$C,2,FALSE)</f>
        <v>OBS1</v>
      </c>
      <c r="K2" t="str">
        <f>VLOOKUP(A2,[3]Sheet1!$A:$C,3,FALSE)</f>
        <v>T2</v>
      </c>
    </row>
    <row r="3" spans="1:11" x14ac:dyDescent="0.25">
      <c r="A3" s="2" t="s">
        <v>5</v>
      </c>
      <c r="B3">
        <v>48</v>
      </c>
      <c r="C3" t="s">
        <v>4</v>
      </c>
      <c r="D3" t="str">
        <f>VLOOKUP(A3,[1]Sheet1!$A:$D,2,FALSE)</f>
        <v>GE MEDICAL SYSTEMS</v>
      </c>
      <c r="E3" t="str">
        <f>VLOOKUP(A3,[1]Sheet1!$A:$D,3,FALSE)</f>
        <v>GENESIS_SIGNA</v>
      </c>
      <c r="F3">
        <f>VLOOKUP(A3,[1]Sheet1!$A:$D,4,FALSE)</f>
        <v>1</v>
      </c>
      <c r="G3">
        <f>VLOOKUP(A3,[2]Sheet1!$A:$D,2,FALSE)</f>
        <v>-1</v>
      </c>
      <c r="H3">
        <f>VLOOKUP(A3,[2]Sheet1!$A:$D,3,FALSE)</f>
        <v>-1</v>
      </c>
      <c r="I3">
        <f>VLOOKUP(A3,[2]Sheet1!$A:$D,4,FALSE)</f>
        <v>2</v>
      </c>
      <c r="J3" t="str">
        <f>VLOOKUP(A3,[3]Sheet1!$A:$C,2,FALSE)</f>
        <v>AUTO</v>
      </c>
      <c r="K3" t="str">
        <f>VLOOKUP(A3,[3]Sheet1!$A:$C,3,FALSE)</f>
        <v>ALL</v>
      </c>
    </row>
    <row r="4" spans="1:11" x14ac:dyDescent="0.25">
      <c r="A4" s="2" t="s">
        <v>6</v>
      </c>
      <c r="B4">
        <v>32</v>
      </c>
      <c r="C4" t="s">
        <v>7</v>
      </c>
      <c r="D4" t="str">
        <f>VLOOKUP(A4,[1]Sheet1!$A:$D,2,FALSE)</f>
        <v>GE MEDICAL SYSTEMS</v>
      </c>
      <c r="E4" t="str">
        <f>VLOOKUP(A4,[1]Sheet1!$A:$D,3,FALSE)</f>
        <v>Signa HDxt</v>
      </c>
      <c r="F4">
        <f>VLOOKUP(A4,[1]Sheet1!$A:$D,4,FALSE)</f>
        <v>1.5</v>
      </c>
      <c r="G4">
        <f>VLOOKUP(A4,[2]Sheet1!$A:$D,2,FALSE)</f>
        <v>-1</v>
      </c>
      <c r="H4">
        <f>VLOOKUP(A4,[2]Sheet1!$A:$D,3,FALSE)</f>
        <v>-1</v>
      </c>
      <c r="I4">
        <f>VLOOKUP(A4,[2]Sheet1!$A:$D,4,FALSE)</f>
        <v>4</v>
      </c>
      <c r="J4" t="str">
        <f>VLOOKUP(A4,[3]Sheet1!$A:$C,2,FALSE)</f>
        <v>AUTO</v>
      </c>
      <c r="K4" t="str">
        <f>VLOOKUP(A4,[3]Sheet1!$A:$C,3,FALSE)</f>
        <v>ALL</v>
      </c>
    </row>
    <row r="5" spans="1:11" x14ac:dyDescent="0.25">
      <c r="A5" s="2" t="s">
        <v>8</v>
      </c>
      <c r="B5">
        <v>45</v>
      </c>
      <c r="C5" t="s">
        <v>7</v>
      </c>
      <c r="D5" t="str">
        <f>VLOOKUP(A5,[1]Sheet1!$A:$D,2,FALSE)</f>
        <v>SIEMENS</v>
      </c>
      <c r="E5" t="str">
        <f>VLOOKUP(A5,[1]Sheet1!$A:$D,3,FALSE)</f>
        <v>Avanto</v>
      </c>
      <c r="F5">
        <f>VLOOKUP(A5,[1]Sheet1!$A:$D,4,FALSE)</f>
        <v>1.5</v>
      </c>
      <c r="G5">
        <f>VLOOKUP(A5,[2]Sheet1!$A:$D,2,FALSE)</f>
        <v>1</v>
      </c>
      <c r="H5">
        <f>VLOOKUP(A5,[2]Sheet1!$A:$D,3,FALSE)</f>
        <v>1</v>
      </c>
      <c r="I5">
        <f>VLOOKUP(A5,[2]Sheet1!$A:$D,4,FALSE)</f>
        <v>2</v>
      </c>
      <c r="J5" t="str">
        <f>VLOOKUP(A5,[3]Sheet1!$A:$C,2,FALSE)</f>
        <v>OBS2</v>
      </c>
      <c r="K5" t="str">
        <f>VLOOKUP(A5,[3]Sheet1!$A:$C,3,FALSE)</f>
        <v>FLAIR</v>
      </c>
    </row>
    <row r="6" spans="1:11" x14ac:dyDescent="0.25">
      <c r="A6" s="2" t="s">
        <v>9</v>
      </c>
      <c r="B6">
        <v>39</v>
      </c>
      <c r="C6" t="s">
        <v>7</v>
      </c>
      <c r="D6" t="str">
        <f>VLOOKUP(A6,[1]Sheet1!$A:$D,2,FALSE)</f>
        <v>GE MEDICAL SYSTEMS</v>
      </c>
      <c r="E6" t="str">
        <f>VLOOKUP(A6,[1]Sheet1!$A:$D,3,FALSE)</f>
        <v>GENESIS_SIGNA</v>
      </c>
      <c r="F6">
        <f>VLOOKUP(A6,[1]Sheet1!$A:$D,4,FALSE)</f>
        <v>1</v>
      </c>
      <c r="G6">
        <f>VLOOKUP(A6,[2]Sheet1!$A:$D,2,FALSE)</f>
        <v>-1</v>
      </c>
      <c r="H6">
        <f>VLOOKUP(A6,[2]Sheet1!$A:$D,3,FALSE)</f>
        <v>-1</v>
      </c>
      <c r="I6">
        <f>VLOOKUP(A6,[2]Sheet1!$A:$D,4,FALSE)</f>
        <v>4</v>
      </c>
      <c r="J6" t="str">
        <f>VLOOKUP(A6,[3]Sheet1!$A:$C,2,FALSE)</f>
        <v>AUTO</v>
      </c>
      <c r="K6" t="str">
        <f>VLOOKUP(A6,[3]Sheet1!$A:$C,3,FALSE)</f>
        <v>ALL</v>
      </c>
    </row>
    <row r="7" spans="1:11" x14ac:dyDescent="0.25">
      <c r="A7" s="2" t="s">
        <v>10</v>
      </c>
      <c r="B7">
        <v>48</v>
      </c>
      <c r="C7" t="s">
        <v>4</v>
      </c>
      <c r="D7" t="str">
        <f>VLOOKUP(A7,[1]Sheet1!$A:$D,2,FALSE)</f>
        <v>SIEMENS</v>
      </c>
      <c r="E7" t="str">
        <f>VLOOKUP(A7,[1]Sheet1!$A:$D,3,FALSE)</f>
        <v>Symphony</v>
      </c>
      <c r="F7">
        <f>VLOOKUP(A7,[1]Sheet1!$A:$D,4,FALSE)</f>
        <v>1.5</v>
      </c>
      <c r="G7">
        <f>VLOOKUP(A7,[2]Sheet1!$A:$D,2,FALSE)</f>
        <v>-1</v>
      </c>
      <c r="H7">
        <f>VLOOKUP(A7,[2]Sheet1!$A:$D,3,FALSE)</f>
        <v>-1</v>
      </c>
      <c r="I7">
        <f>VLOOKUP(A7,[2]Sheet1!$A:$D,4,FALSE)</f>
        <v>4</v>
      </c>
      <c r="J7" t="str">
        <f>VLOOKUP(A7,[3]Sheet1!$A:$C,2,FALSE)</f>
        <v>OBS1</v>
      </c>
      <c r="K7" t="str">
        <f>VLOOKUP(A7,[3]Sheet1!$A:$C,3,FALSE)</f>
        <v>T2</v>
      </c>
    </row>
    <row r="8" spans="1:11" x14ac:dyDescent="0.25">
      <c r="A8" s="2" t="s">
        <v>11</v>
      </c>
      <c r="B8">
        <v>52</v>
      </c>
      <c r="C8" t="s">
        <v>7</v>
      </c>
      <c r="D8" t="str">
        <f>VLOOKUP(A8,[1]Sheet1!$A:$D,2,FALSE)</f>
        <v>GE MEDICAL SYSTEMS</v>
      </c>
      <c r="E8" t="str">
        <f>VLOOKUP(A8,[1]Sheet1!$A:$D,3,FALSE)</f>
        <v>DISCOVERY MR750</v>
      </c>
      <c r="F8">
        <f>VLOOKUP(A8,[1]Sheet1!$A:$D,4,FALSE)</f>
        <v>3</v>
      </c>
      <c r="G8">
        <f>VLOOKUP(A8,[2]Sheet1!$A:$D,2,FALSE)</f>
        <v>-1</v>
      </c>
      <c r="H8">
        <f>VLOOKUP(A8,[2]Sheet1!$A:$D,3,FALSE)</f>
        <v>-1</v>
      </c>
      <c r="I8">
        <f>VLOOKUP(A8,[2]Sheet1!$A:$D,4,FALSE)</f>
        <v>3</v>
      </c>
      <c r="J8" t="str">
        <f>VLOOKUP(A8,[3]Sheet1!$A:$C,2,FALSE)</f>
        <v>AUTO</v>
      </c>
      <c r="K8" t="str">
        <f>VLOOKUP(A8,[3]Sheet1!$A:$C,3,FALSE)</f>
        <v>ALL</v>
      </c>
    </row>
    <row r="9" spans="1:11" x14ac:dyDescent="0.25">
      <c r="A9" s="2" t="s">
        <v>12</v>
      </c>
      <c r="B9">
        <v>60</v>
      </c>
      <c r="C9" t="s">
        <v>7</v>
      </c>
      <c r="D9" t="str">
        <f>VLOOKUP(A9,[1]Sheet1!$A:$D,2,FALSE)</f>
        <v>SIEMENS</v>
      </c>
      <c r="E9" t="str">
        <f>VLOOKUP(A9,[1]Sheet1!$A:$D,3,FALSE)</f>
        <v>Avanto</v>
      </c>
      <c r="F9">
        <f>VLOOKUP(A9,[1]Sheet1!$A:$D,4,FALSE)</f>
        <v>1.5</v>
      </c>
      <c r="G9">
        <f>VLOOKUP(A9,[2]Sheet1!$A:$D,2,FALSE)</f>
        <v>1</v>
      </c>
      <c r="H9">
        <f>VLOOKUP(A9,[2]Sheet1!$A:$D,3,FALSE)</f>
        <v>1</v>
      </c>
      <c r="I9">
        <f>VLOOKUP(A9,[2]Sheet1!$A:$D,4,FALSE)</f>
        <v>2</v>
      </c>
      <c r="J9" t="str">
        <f>VLOOKUP(A9,[3]Sheet1!$A:$C,2,FALSE)</f>
        <v>AUTO</v>
      </c>
      <c r="K9" t="str">
        <f>VLOOKUP(A9,[3]Sheet1!$A:$C,3,FALSE)</f>
        <v>ALL</v>
      </c>
    </row>
    <row r="10" spans="1:11" x14ac:dyDescent="0.25">
      <c r="A10" s="2" t="s">
        <v>13</v>
      </c>
      <c r="B10">
        <v>45</v>
      </c>
      <c r="C10" t="s">
        <v>4</v>
      </c>
      <c r="D10" t="str">
        <f>VLOOKUP(A10,[1]Sheet1!$A:$D,2,FALSE)</f>
        <v>Philips Medical Systems</v>
      </c>
      <c r="E10" t="str">
        <f>VLOOKUP(A10,[1]Sheet1!$A:$D,3,FALSE)</f>
        <v>NT Intera</v>
      </c>
      <c r="F10">
        <f>VLOOKUP(A10,[1]Sheet1!$A:$D,4,FALSE)</f>
        <v>1</v>
      </c>
      <c r="G10">
        <f>VLOOKUP(A10,[2]Sheet1!$A:$D,2,FALSE)</f>
        <v>0</v>
      </c>
      <c r="H10">
        <f>VLOOKUP(A10,[2]Sheet1!$A:$D,3,FALSE)</f>
        <v>0</v>
      </c>
      <c r="I10">
        <f>VLOOKUP(A10,[2]Sheet1!$A:$D,4,FALSE)</f>
        <v>2</v>
      </c>
      <c r="J10" t="str">
        <f>VLOOKUP(A10,[3]Sheet1!$A:$C,2,FALSE)</f>
        <v>OBS2</v>
      </c>
      <c r="K10" t="str">
        <f>VLOOKUP(A10,[3]Sheet1!$A:$C,3,FALSE)</f>
        <v>FLAIR</v>
      </c>
    </row>
    <row r="11" spans="1:11" x14ac:dyDescent="0.25">
      <c r="A11" s="2" t="s">
        <v>14</v>
      </c>
      <c r="B11">
        <v>45</v>
      </c>
      <c r="C11" t="s">
        <v>4</v>
      </c>
      <c r="D11" t="str">
        <f>VLOOKUP(A11,[1]Sheet1!$A:$D,2,FALSE)</f>
        <v>Philips Medical Systems</v>
      </c>
      <c r="E11" t="str">
        <f>VLOOKUP(A11,[1]Sheet1!$A:$D,3,FALSE)</f>
        <v>Intera</v>
      </c>
      <c r="F11">
        <f>VLOOKUP(A11,[1]Sheet1!$A:$D,4,FALSE)</f>
        <v>1</v>
      </c>
      <c r="G11">
        <f>VLOOKUP(A11,[2]Sheet1!$A:$D,2,FALSE)</f>
        <v>-1</v>
      </c>
      <c r="H11">
        <f>VLOOKUP(A11,[2]Sheet1!$A:$D,3,FALSE)</f>
        <v>-1</v>
      </c>
      <c r="I11">
        <f>VLOOKUP(A11,[2]Sheet1!$A:$D,4,FALSE)</f>
        <v>4</v>
      </c>
      <c r="J11" t="str">
        <f>VLOOKUP(A11,[3]Sheet1!$A:$C,2,FALSE)</f>
        <v>AUTO</v>
      </c>
      <c r="K11" t="str">
        <f>VLOOKUP(A11,[3]Sheet1!$A:$C,3,FALSE)</f>
        <v>ALL</v>
      </c>
    </row>
    <row r="12" spans="1:11" x14ac:dyDescent="0.25">
      <c r="A12" s="2" t="s">
        <v>15</v>
      </c>
      <c r="B12">
        <v>49</v>
      </c>
      <c r="C12" t="s">
        <v>7</v>
      </c>
      <c r="D12" t="str">
        <f>VLOOKUP(A12,[1]Sheet1!$A:$D,2,FALSE)</f>
        <v>SIEMENS</v>
      </c>
      <c r="E12" t="str">
        <f>VLOOKUP(A12,[1]Sheet1!$A:$D,3,FALSE)</f>
        <v>Symphony</v>
      </c>
      <c r="F12">
        <f>VLOOKUP(A12,[1]Sheet1!$A:$D,4,FALSE)</f>
        <v>1.5</v>
      </c>
      <c r="G12">
        <f>VLOOKUP(A12,[2]Sheet1!$A:$D,2,FALSE)</f>
        <v>1</v>
      </c>
      <c r="H12">
        <f>VLOOKUP(A12,[2]Sheet1!$A:$D,3,FALSE)</f>
        <v>1</v>
      </c>
      <c r="I12">
        <f>VLOOKUP(A12,[2]Sheet1!$A:$D,4,FALSE)</f>
        <v>2</v>
      </c>
      <c r="J12" t="str">
        <f>VLOOKUP(A12,[3]Sheet1!$A:$C,2,FALSE)</f>
        <v>AUTO</v>
      </c>
      <c r="K12" t="str">
        <f>VLOOKUP(A12,[3]Sheet1!$A:$C,3,FALSE)</f>
        <v>ALL</v>
      </c>
    </row>
    <row r="13" spans="1:11" x14ac:dyDescent="0.25">
      <c r="A13" s="2" t="s">
        <v>16</v>
      </c>
      <c r="B13">
        <v>64</v>
      </c>
      <c r="C13" t="s">
        <v>4</v>
      </c>
      <c r="D13" t="str">
        <f>VLOOKUP(A13,[1]Sheet1!$A:$D,2,FALSE)</f>
        <v>Philips Medical Systems</v>
      </c>
      <c r="E13" t="str">
        <f>VLOOKUP(A13,[1]Sheet1!$A:$D,3,FALSE)</f>
        <v>Intera</v>
      </c>
      <c r="F13">
        <f>VLOOKUP(A13,[1]Sheet1!$A:$D,4,FALSE)</f>
        <v>1</v>
      </c>
      <c r="G13">
        <f>VLOOKUP(A13,[2]Sheet1!$A:$D,2,FALSE)</f>
        <v>-1</v>
      </c>
      <c r="H13">
        <f>VLOOKUP(A13,[2]Sheet1!$A:$D,3,FALSE)</f>
        <v>-1</v>
      </c>
      <c r="I13">
        <f>VLOOKUP(A13,[2]Sheet1!$A:$D,4,FALSE)</f>
        <v>4</v>
      </c>
      <c r="J13" t="str">
        <f>VLOOKUP(A13,[3]Sheet1!$A:$C,2,FALSE)</f>
        <v>AUTO</v>
      </c>
      <c r="K13" t="str">
        <f>VLOOKUP(A13,[3]Sheet1!$A:$C,3,FALSE)</f>
        <v>ALL</v>
      </c>
    </row>
    <row r="14" spans="1:11" x14ac:dyDescent="0.25">
      <c r="A14" s="2" t="s">
        <v>17</v>
      </c>
      <c r="B14">
        <v>57</v>
      </c>
      <c r="C14" t="s">
        <v>4</v>
      </c>
      <c r="D14" t="str">
        <f>VLOOKUP(A14,[1]Sheet1!$A:$D,2,FALSE)</f>
        <v>GE MEDICAL SYSTEMS</v>
      </c>
      <c r="E14" t="str">
        <f>VLOOKUP(A14,[1]Sheet1!$A:$D,3,FALSE)</f>
        <v>GENESIS_SIGNA</v>
      </c>
      <c r="F14">
        <f>VLOOKUP(A14,[1]Sheet1!$A:$D,4,FALSE)</f>
        <v>1</v>
      </c>
      <c r="G14">
        <f>VLOOKUP(A14,[2]Sheet1!$A:$D,2,FALSE)</f>
        <v>-1</v>
      </c>
      <c r="H14">
        <f>VLOOKUP(A14,[2]Sheet1!$A:$D,3,FALSE)</f>
        <v>-1</v>
      </c>
      <c r="I14">
        <f>VLOOKUP(A14,[2]Sheet1!$A:$D,4,FALSE)</f>
        <v>4</v>
      </c>
      <c r="J14" t="str">
        <f>VLOOKUP(A14,[3]Sheet1!$A:$C,2,FALSE)</f>
        <v>AUTO</v>
      </c>
      <c r="K14" t="str">
        <f>VLOOKUP(A14,[3]Sheet1!$A:$C,3,FALSE)</f>
        <v>ALL</v>
      </c>
    </row>
    <row r="15" spans="1:11" x14ac:dyDescent="0.25">
      <c r="A15" s="2" t="s">
        <v>18</v>
      </c>
      <c r="B15">
        <v>84</v>
      </c>
      <c r="C15" t="s">
        <v>4</v>
      </c>
      <c r="D15" t="str">
        <f>VLOOKUP(A15,[1]Sheet1!$A:$D,2,FALSE)</f>
        <v>GE MEDICAL SYSTEMS</v>
      </c>
      <c r="E15" t="str">
        <f>VLOOKUP(A15,[1]Sheet1!$A:$D,3,FALSE)</f>
        <v>DISCOVERY MR450</v>
      </c>
      <c r="F15">
        <f>VLOOKUP(A15,[1]Sheet1!$A:$D,4,FALSE)</f>
        <v>1.5</v>
      </c>
      <c r="G15">
        <f>VLOOKUP(A15,[2]Sheet1!$A:$D,2,FALSE)</f>
        <v>0</v>
      </c>
      <c r="H15">
        <f>VLOOKUP(A15,[2]Sheet1!$A:$D,3,FALSE)</f>
        <v>0</v>
      </c>
      <c r="I15">
        <f>VLOOKUP(A15,[2]Sheet1!$A:$D,4,FALSE)</f>
        <v>4</v>
      </c>
      <c r="J15" t="str">
        <f>VLOOKUP(A15,[3]Sheet1!$A:$C,2,FALSE)</f>
        <v>OBS1</v>
      </c>
      <c r="K15" t="str">
        <f>VLOOKUP(A15,[3]Sheet1!$A:$C,3,FALSE)</f>
        <v>T2</v>
      </c>
    </row>
    <row r="16" spans="1:11" x14ac:dyDescent="0.25">
      <c r="A16" s="2" t="s">
        <v>19</v>
      </c>
      <c r="B16">
        <v>69</v>
      </c>
      <c r="C16" t="s">
        <v>7</v>
      </c>
      <c r="D16" t="str">
        <f>VLOOKUP(A16,[1]Sheet1!$A:$D,2,FALSE)</f>
        <v>SIEMENS</v>
      </c>
      <c r="E16" t="str">
        <f>VLOOKUP(A16,[1]Sheet1!$A:$D,3,FALSE)</f>
        <v>Symphony</v>
      </c>
      <c r="F16">
        <f>VLOOKUP(A16,[1]Sheet1!$A:$D,4,FALSE)</f>
        <v>1.5</v>
      </c>
      <c r="G16">
        <f>VLOOKUP(A16,[2]Sheet1!$A:$D,2,FALSE)</f>
        <v>0</v>
      </c>
      <c r="H16">
        <f>VLOOKUP(A16,[2]Sheet1!$A:$D,3,FALSE)</f>
        <v>-1</v>
      </c>
      <c r="I16">
        <f>VLOOKUP(A16,[2]Sheet1!$A:$D,4,FALSE)</f>
        <v>4</v>
      </c>
      <c r="J16" t="str">
        <f>VLOOKUP(A16,[3]Sheet1!$A:$C,2,FALSE)</f>
        <v>OBS1</v>
      </c>
      <c r="K16" t="str">
        <f>VLOOKUP(A16,[3]Sheet1!$A:$C,3,FALSE)</f>
        <v>T2</v>
      </c>
    </row>
    <row r="17" spans="1:11" x14ac:dyDescent="0.25">
      <c r="A17" s="2" t="s">
        <v>20</v>
      </c>
      <c r="B17">
        <v>71</v>
      </c>
      <c r="C17" t="s">
        <v>7</v>
      </c>
      <c r="D17" t="str">
        <f>VLOOKUP(A17,[1]Sheet1!$A:$D,2,FALSE)</f>
        <v>GE MEDICAL SYSTEMS</v>
      </c>
      <c r="E17" t="str">
        <f>VLOOKUP(A17,[1]Sheet1!$A:$D,3,FALSE)</f>
        <v>GENESIS_SIGNA</v>
      </c>
      <c r="F17">
        <f>VLOOKUP(A17,[1]Sheet1!$A:$D,4,FALSE)</f>
        <v>1</v>
      </c>
      <c r="G17">
        <f>VLOOKUP(A17,[2]Sheet1!$A:$D,2,FALSE)</f>
        <v>-1</v>
      </c>
      <c r="H17">
        <f>VLOOKUP(A17,[2]Sheet1!$A:$D,3,FALSE)</f>
        <v>-1</v>
      </c>
      <c r="I17">
        <f>VLOOKUP(A17,[2]Sheet1!$A:$D,4,FALSE)</f>
        <v>4</v>
      </c>
      <c r="J17" t="str">
        <f>VLOOKUP(A17,[3]Sheet1!$A:$C,2,FALSE)</f>
        <v>AUTO</v>
      </c>
      <c r="K17" t="str">
        <f>VLOOKUP(A17,[3]Sheet1!$A:$C,3,FALSE)</f>
        <v>ALL</v>
      </c>
    </row>
    <row r="18" spans="1:11" x14ac:dyDescent="0.25">
      <c r="A18" s="2" t="s">
        <v>21</v>
      </c>
      <c r="B18">
        <v>52</v>
      </c>
      <c r="C18" t="s">
        <v>4</v>
      </c>
      <c r="D18" t="str">
        <f>VLOOKUP(A18,[1]Sheet1!$A:$D,2,FALSE)</f>
        <v>SIEMENS</v>
      </c>
      <c r="E18" t="str">
        <f>VLOOKUP(A18,[1]Sheet1!$A:$D,3,FALSE)</f>
        <v>Avanto</v>
      </c>
      <c r="F18">
        <f>VLOOKUP(A18,[1]Sheet1!$A:$D,4,FALSE)</f>
        <v>1.5</v>
      </c>
      <c r="G18">
        <f>VLOOKUP(A18,[2]Sheet1!$A:$D,2,FALSE)</f>
        <v>-1</v>
      </c>
      <c r="H18">
        <f>VLOOKUP(A18,[2]Sheet1!$A:$D,3,FALSE)</f>
        <v>-1</v>
      </c>
      <c r="I18">
        <f>VLOOKUP(A18,[2]Sheet1!$A:$D,4,FALSE)</f>
        <v>4</v>
      </c>
      <c r="J18" t="str">
        <f>VLOOKUP(A18,[3]Sheet1!$A:$C,2,FALSE)</f>
        <v>AUTO</v>
      </c>
      <c r="K18" t="str">
        <f>VLOOKUP(A18,[3]Sheet1!$A:$C,3,FALSE)</f>
        <v>ALL</v>
      </c>
    </row>
    <row r="19" spans="1:11" x14ac:dyDescent="0.25">
      <c r="A19" s="2" t="s">
        <v>22</v>
      </c>
      <c r="B19">
        <v>48</v>
      </c>
      <c r="C19" t="s">
        <v>7</v>
      </c>
      <c r="D19" t="str">
        <f>VLOOKUP(A19,[1]Sheet1!$A:$D,2,FALSE)</f>
        <v>SIEMENS</v>
      </c>
      <c r="E19" t="str">
        <f>VLOOKUP(A19,[1]Sheet1!$A:$D,3,FALSE)</f>
        <v>Symphony</v>
      </c>
      <c r="F19">
        <f>VLOOKUP(A19,[1]Sheet1!$A:$D,4,FALSE)</f>
        <v>1.5</v>
      </c>
      <c r="G19">
        <f>VLOOKUP(A19,[2]Sheet1!$A:$D,2,FALSE)</f>
        <v>-1</v>
      </c>
      <c r="H19">
        <f>VLOOKUP(A19,[2]Sheet1!$A:$D,3,FALSE)</f>
        <v>-1</v>
      </c>
      <c r="I19">
        <f>VLOOKUP(A19,[2]Sheet1!$A:$D,4,FALSE)</f>
        <v>4</v>
      </c>
      <c r="J19" t="str">
        <f>VLOOKUP(A19,[3]Sheet1!$A:$C,2,FALSE)</f>
        <v>AUTO</v>
      </c>
      <c r="K19" t="str">
        <f>VLOOKUP(A19,[3]Sheet1!$A:$C,3,FALSE)</f>
        <v>ALL</v>
      </c>
    </row>
    <row r="20" spans="1:11" x14ac:dyDescent="0.25">
      <c r="A20" s="2" t="s">
        <v>23</v>
      </c>
      <c r="B20">
        <v>38</v>
      </c>
      <c r="C20" t="s">
        <v>7</v>
      </c>
      <c r="D20" t="str">
        <f>VLOOKUP(A20,[1]Sheet1!$A:$D,2,FALSE)</f>
        <v>Philips Medical Systems</v>
      </c>
      <c r="E20" t="str">
        <f>VLOOKUP(A20,[1]Sheet1!$A:$D,3,FALSE)</f>
        <v>Gyroscan NT</v>
      </c>
      <c r="F20">
        <f>VLOOKUP(A20,[1]Sheet1!$A:$D,4,FALSE)</f>
        <v>0.5</v>
      </c>
      <c r="G20">
        <f>VLOOKUP(A20,[2]Sheet1!$A:$D,2,FALSE)</f>
        <v>-1</v>
      </c>
      <c r="H20">
        <f>VLOOKUP(A20,[2]Sheet1!$A:$D,3,FALSE)</f>
        <v>-1</v>
      </c>
      <c r="I20">
        <f>VLOOKUP(A20,[2]Sheet1!$A:$D,4,FALSE)</f>
        <v>3</v>
      </c>
      <c r="J20" t="str">
        <f>VLOOKUP(A20,[3]Sheet1!$A:$C,2,FALSE)</f>
        <v>AUTO</v>
      </c>
      <c r="K20" t="str">
        <f>VLOOKUP(A20,[3]Sheet1!$A:$C,3,FALSE)</f>
        <v>ALL</v>
      </c>
    </row>
    <row r="21" spans="1:11" x14ac:dyDescent="0.25">
      <c r="A21" s="2" t="s">
        <v>24</v>
      </c>
      <c r="B21">
        <v>57</v>
      </c>
      <c r="C21" t="s">
        <v>4</v>
      </c>
      <c r="D21" t="str">
        <f>VLOOKUP(A21,[1]Sheet1!$A:$D,2,FALSE)</f>
        <v>GE MEDICAL SYSTEMS</v>
      </c>
      <c r="E21" t="str">
        <f>VLOOKUP(A21,[1]Sheet1!$A:$D,3,FALSE)</f>
        <v>DISCOVERY MR450</v>
      </c>
      <c r="F21">
        <f>VLOOKUP(A21,[1]Sheet1!$A:$D,4,FALSE)</f>
        <v>1.5</v>
      </c>
      <c r="G21">
        <f>VLOOKUP(A21,[2]Sheet1!$A:$D,2,FALSE)</f>
        <v>1</v>
      </c>
      <c r="H21">
        <f>VLOOKUP(A21,[2]Sheet1!$A:$D,3,FALSE)</f>
        <v>1</v>
      </c>
      <c r="I21">
        <f>VLOOKUP(A21,[2]Sheet1!$A:$D,4,FALSE)</f>
        <v>2</v>
      </c>
      <c r="J21" t="str">
        <f>VLOOKUP(A21,[3]Sheet1!$A:$C,2,FALSE)</f>
        <v>OBS1</v>
      </c>
      <c r="K21" t="str">
        <f>VLOOKUP(A21,[3]Sheet1!$A:$C,3,FALSE)</f>
        <v>FLAIR</v>
      </c>
    </row>
    <row r="22" spans="1:11" x14ac:dyDescent="0.25">
      <c r="A22" s="2" t="s">
        <v>25</v>
      </c>
      <c r="B22">
        <v>62</v>
      </c>
      <c r="C22" t="s">
        <v>4</v>
      </c>
      <c r="D22" t="str">
        <f>VLOOKUP(A22,[1]Sheet1!$A:$D,2,FALSE)</f>
        <v>Philips Medical Systems</v>
      </c>
      <c r="E22" t="str">
        <f>VLOOKUP(A22,[1]Sheet1!$A:$D,3,FALSE)</f>
        <v>Intera</v>
      </c>
      <c r="F22">
        <f>VLOOKUP(A22,[1]Sheet1!$A:$D,4,FALSE)</f>
        <v>1</v>
      </c>
      <c r="G22">
        <f>VLOOKUP(A22,[2]Sheet1!$A:$D,2,FALSE)</f>
        <v>-1</v>
      </c>
      <c r="H22">
        <f>VLOOKUP(A22,[2]Sheet1!$A:$D,3,FALSE)</f>
        <v>-1</v>
      </c>
      <c r="I22">
        <f>VLOOKUP(A22,[2]Sheet1!$A:$D,4,FALSE)</f>
        <v>4</v>
      </c>
      <c r="J22" t="str">
        <f>VLOOKUP(A22,[3]Sheet1!$A:$C,2,FALSE)</f>
        <v>AUTO</v>
      </c>
      <c r="K22" t="str">
        <f>VLOOKUP(A22,[3]Sheet1!$A:$C,3,FALSE)</f>
        <v>ALL</v>
      </c>
    </row>
    <row r="23" spans="1:11" x14ac:dyDescent="0.25">
      <c r="A23" s="2" t="s">
        <v>26</v>
      </c>
      <c r="B23">
        <v>51</v>
      </c>
      <c r="C23" t="s">
        <v>7</v>
      </c>
      <c r="D23" t="str">
        <f>VLOOKUP(A23,[1]Sheet1!$A:$D,2,FALSE)</f>
        <v>SIEMENS</v>
      </c>
      <c r="E23" t="str">
        <f>VLOOKUP(A23,[1]Sheet1!$A:$D,3,FALSE)</f>
        <v>Avanto</v>
      </c>
      <c r="F23">
        <f>VLOOKUP(A23,[1]Sheet1!$A:$D,4,FALSE)</f>
        <v>1.5</v>
      </c>
      <c r="G23">
        <f>VLOOKUP(A23,[2]Sheet1!$A:$D,2,FALSE)</f>
        <v>1</v>
      </c>
      <c r="H23">
        <f>VLOOKUP(A23,[2]Sheet1!$A:$D,3,FALSE)</f>
        <v>1</v>
      </c>
      <c r="I23">
        <f>VLOOKUP(A23,[2]Sheet1!$A:$D,4,FALSE)</f>
        <v>2</v>
      </c>
      <c r="J23" t="str">
        <f>VLOOKUP(A23,[3]Sheet1!$A:$C,2,FALSE)</f>
        <v>OBS2</v>
      </c>
      <c r="K23" t="str">
        <f>VLOOKUP(A23,[3]Sheet1!$A:$C,3,FALSE)</f>
        <v>FLAIR</v>
      </c>
    </row>
    <row r="24" spans="1:11" x14ac:dyDescent="0.25">
      <c r="A24" s="2" t="s">
        <v>27</v>
      </c>
      <c r="B24">
        <v>77</v>
      </c>
      <c r="C24" t="s">
        <v>7</v>
      </c>
      <c r="D24" t="str">
        <f>VLOOKUP(A24,[1]Sheet1!$A:$D,2,FALSE)</f>
        <v>Philips Medical Systems</v>
      </c>
      <c r="E24" t="str">
        <f>VLOOKUP(A24,[1]Sheet1!$A:$D,3,FALSE)</f>
        <v>Intera</v>
      </c>
      <c r="F24">
        <f>VLOOKUP(A24,[1]Sheet1!$A:$D,4,FALSE)</f>
        <v>1.5</v>
      </c>
      <c r="G24">
        <f>VLOOKUP(A24,[2]Sheet1!$A:$D,2,FALSE)</f>
        <v>-1</v>
      </c>
      <c r="H24">
        <f>VLOOKUP(A24,[2]Sheet1!$A:$D,3,FALSE)</f>
        <v>-1</v>
      </c>
      <c r="I24">
        <f>VLOOKUP(A24,[2]Sheet1!$A:$D,4,FALSE)</f>
        <v>4</v>
      </c>
      <c r="J24" t="str">
        <f>VLOOKUP(A24,[3]Sheet1!$A:$C,2,FALSE)</f>
        <v>AUTO</v>
      </c>
      <c r="K24" t="str">
        <f>VLOOKUP(A24,[3]Sheet1!$A:$C,3,FALSE)</f>
        <v>ALL</v>
      </c>
    </row>
    <row r="25" spans="1:11" x14ac:dyDescent="0.25">
      <c r="A25" s="2" t="s">
        <v>28</v>
      </c>
      <c r="B25">
        <v>43</v>
      </c>
      <c r="C25" t="s">
        <v>7</v>
      </c>
      <c r="D25" t="str">
        <f>VLOOKUP(A25,[1]Sheet1!$A:$D,2,FALSE)</f>
        <v>SIEMENS</v>
      </c>
      <c r="E25" t="str">
        <f>VLOOKUP(A25,[1]Sheet1!$A:$D,3,FALSE)</f>
        <v>Avanto</v>
      </c>
      <c r="F25">
        <f>VLOOKUP(A25,[1]Sheet1!$A:$D,4,FALSE)</f>
        <v>1.5</v>
      </c>
      <c r="G25">
        <f>VLOOKUP(A25,[2]Sheet1!$A:$D,2,FALSE)</f>
        <v>1</v>
      </c>
      <c r="H25">
        <f>VLOOKUP(A25,[2]Sheet1!$A:$D,3,FALSE)</f>
        <v>0</v>
      </c>
      <c r="I25">
        <f>VLOOKUP(A25,[2]Sheet1!$A:$D,4,FALSE)</f>
        <v>2</v>
      </c>
      <c r="J25" t="str">
        <f>VLOOKUP(A25,[3]Sheet1!$A:$C,2,FALSE)</f>
        <v>AUTO</v>
      </c>
      <c r="K25" t="str">
        <f>VLOOKUP(A25,[3]Sheet1!$A:$C,3,FALSE)</f>
        <v>ALL</v>
      </c>
    </row>
    <row r="26" spans="1:11" x14ac:dyDescent="0.25">
      <c r="A26" s="2" t="s">
        <v>29</v>
      </c>
      <c r="B26">
        <v>48</v>
      </c>
      <c r="C26" t="s">
        <v>4</v>
      </c>
      <c r="D26" t="str">
        <f>VLOOKUP(A26,[1]Sheet1!$A:$D,2,FALSE)</f>
        <v>GE MEDICAL SYSTEMS</v>
      </c>
      <c r="E26" t="str">
        <f>VLOOKUP(A26,[1]Sheet1!$A:$D,3,FALSE)</f>
        <v>GENESIS_SIGNA</v>
      </c>
      <c r="F26">
        <f>VLOOKUP(A26,[1]Sheet1!$A:$D,4,FALSE)</f>
        <v>1</v>
      </c>
      <c r="G26">
        <f>VLOOKUP(A26,[2]Sheet1!$A:$D,2,FALSE)</f>
        <v>-1</v>
      </c>
      <c r="H26">
        <f>VLOOKUP(A26,[2]Sheet1!$A:$D,3,FALSE)</f>
        <v>-1</v>
      </c>
      <c r="I26">
        <f>VLOOKUP(A26,[2]Sheet1!$A:$D,4,FALSE)</f>
        <v>4</v>
      </c>
      <c r="J26" t="str">
        <f>VLOOKUP(A26,[3]Sheet1!$A:$C,2,FALSE)</f>
        <v>AUTO</v>
      </c>
      <c r="K26" t="str">
        <f>VLOOKUP(A26,[3]Sheet1!$A:$C,3,FALSE)</f>
        <v>ALL</v>
      </c>
    </row>
    <row r="27" spans="1:11" x14ac:dyDescent="0.25">
      <c r="A27" s="2" t="s">
        <v>30</v>
      </c>
      <c r="B27">
        <v>62</v>
      </c>
      <c r="C27" t="s">
        <v>4</v>
      </c>
      <c r="D27" t="str">
        <f>VLOOKUP(A27,[1]Sheet1!$A:$D,2,FALSE)</f>
        <v>SIEMENS</v>
      </c>
      <c r="E27" t="str">
        <f>VLOOKUP(A27,[1]Sheet1!$A:$D,3,FALSE)</f>
        <v>Avanto</v>
      </c>
      <c r="F27">
        <f>VLOOKUP(A27,[1]Sheet1!$A:$D,4,FALSE)</f>
        <v>1.5</v>
      </c>
      <c r="G27">
        <f>VLOOKUP(A27,[2]Sheet1!$A:$D,2,FALSE)</f>
        <v>0</v>
      </c>
      <c r="H27">
        <f>VLOOKUP(A27,[2]Sheet1!$A:$D,3,FALSE)</f>
        <v>-1</v>
      </c>
      <c r="I27">
        <f>VLOOKUP(A27,[2]Sheet1!$A:$D,4,FALSE)</f>
        <v>4</v>
      </c>
      <c r="J27" t="str">
        <f>VLOOKUP(A27,[3]Sheet1!$A:$C,2,FALSE)</f>
        <v>OBS1</v>
      </c>
      <c r="K27" t="str">
        <f>VLOOKUP(A27,[3]Sheet1!$A:$C,3,FALSE)</f>
        <v>T2</v>
      </c>
    </row>
    <row r="28" spans="1:11" x14ac:dyDescent="0.25">
      <c r="A28" s="2" t="s">
        <v>31</v>
      </c>
      <c r="B28">
        <v>62</v>
      </c>
      <c r="C28" t="s">
        <v>7</v>
      </c>
      <c r="D28" t="str">
        <f>VLOOKUP(A28,[1]Sheet1!$A:$D,2,FALSE)</f>
        <v>Philips Medical Systems</v>
      </c>
      <c r="E28" t="str">
        <f>VLOOKUP(A28,[1]Sheet1!$A:$D,3,FALSE)</f>
        <v>Intera</v>
      </c>
      <c r="F28">
        <f>VLOOKUP(A28,[1]Sheet1!$A:$D,4,FALSE)</f>
        <v>1.5</v>
      </c>
      <c r="G28">
        <f>VLOOKUP(A28,[2]Sheet1!$A:$D,2,FALSE)</f>
        <v>-1</v>
      </c>
      <c r="H28">
        <f>VLOOKUP(A28,[2]Sheet1!$A:$D,3,FALSE)</f>
        <v>-1</v>
      </c>
      <c r="I28">
        <f>VLOOKUP(A28,[2]Sheet1!$A:$D,4,FALSE)</f>
        <v>3</v>
      </c>
      <c r="J28" t="str">
        <f>VLOOKUP(A28,[3]Sheet1!$A:$C,2,FALSE)</f>
        <v>AUTO</v>
      </c>
      <c r="K28" t="str">
        <f>VLOOKUP(A28,[3]Sheet1!$A:$C,3,FALSE)</f>
        <v>ALL</v>
      </c>
    </row>
    <row r="29" spans="1:11" x14ac:dyDescent="0.25">
      <c r="A29" s="2" t="s">
        <v>32</v>
      </c>
      <c r="B29">
        <v>63</v>
      </c>
      <c r="C29" t="s">
        <v>7</v>
      </c>
      <c r="D29" t="str">
        <f>VLOOKUP(A29,[1]Sheet1!$A:$D,2,FALSE)</f>
        <v>SIEMENS</v>
      </c>
      <c r="E29" t="str">
        <f>VLOOKUP(A29,[1]Sheet1!$A:$D,3,FALSE)</f>
        <v>Aera</v>
      </c>
      <c r="F29">
        <f>VLOOKUP(A29,[1]Sheet1!$A:$D,4,FALSE)</f>
        <v>1.5</v>
      </c>
      <c r="G29">
        <f>VLOOKUP(A29,[2]Sheet1!$A:$D,2,FALSE)</f>
        <v>-1</v>
      </c>
      <c r="H29">
        <f>VLOOKUP(A29,[2]Sheet1!$A:$D,3,FALSE)</f>
        <v>-1</v>
      </c>
      <c r="I29">
        <f>VLOOKUP(A29,[2]Sheet1!$A:$D,4,FALSE)</f>
        <v>4</v>
      </c>
      <c r="J29" t="str">
        <f>VLOOKUP(A29,[3]Sheet1!$A:$C,2,FALSE)</f>
        <v>OBS1</v>
      </c>
      <c r="K29" t="str">
        <f>VLOOKUP(A29,[3]Sheet1!$A:$C,3,FALSE)</f>
        <v>T2</v>
      </c>
    </row>
    <row r="30" spans="1:11" x14ac:dyDescent="0.25">
      <c r="A30" s="2" t="s">
        <v>33</v>
      </c>
      <c r="B30">
        <v>48</v>
      </c>
      <c r="C30" t="s">
        <v>7</v>
      </c>
      <c r="D30" t="str">
        <f>VLOOKUP(A30,[1]Sheet1!$A:$D,2,FALSE)</f>
        <v>SIEMENS</v>
      </c>
      <c r="E30" t="str">
        <f>VLOOKUP(A30,[1]Sheet1!$A:$D,3,FALSE)</f>
        <v>Symphony</v>
      </c>
      <c r="F30">
        <f>VLOOKUP(A30,[1]Sheet1!$A:$D,4,FALSE)</f>
        <v>1.5</v>
      </c>
      <c r="G30">
        <f>VLOOKUP(A30,[2]Sheet1!$A:$D,2,FALSE)</f>
        <v>1</v>
      </c>
      <c r="H30">
        <f>VLOOKUP(A30,[2]Sheet1!$A:$D,3,FALSE)</f>
        <v>0</v>
      </c>
      <c r="I30">
        <f>VLOOKUP(A30,[2]Sheet1!$A:$D,4,FALSE)</f>
        <v>3</v>
      </c>
      <c r="J30" t="str">
        <f>VLOOKUP(A30,[3]Sheet1!$A:$C,2,FALSE)</f>
        <v>AUTO</v>
      </c>
      <c r="K30" t="str">
        <f>VLOOKUP(A30,[3]Sheet1!$A:$C,3,FALSE)</f>
        <v>ALL</v>
      </c>
    </row>
    <row r="31" spans="1:11" x14ac:dyDescent="0.25">
      <c r="A31" s="2" t="s">
        <v>34</v>
      </c>
      <c r="B31">
        <v>68</v>
      </c>
      <c r="C31" t="s">
        <v>4</v>
      </c>
      <c r="D31" t="str">
        <f>VLOOKUP(A31,[1]Sheet1!$A:$D,2,FALSE)</f>
        <v>SIEMENS</v>
      </c>
      <c r="E31" t="str">
        <f>VLOOKUP(A31,[1]Sheet1!$A:$D,3,FALSE)</f>
        <v>C!</v>
      </c>
      <c r="F31">
        <f>VLOOKUP(A31,[1]Sheet1!$A:$D,4,FALSE)</f>
        <v>0.5</v>
      </c>
      <c r="G31">
        <f>VLOOKUP(A31,[2]Sheet1!$A:$D,2,FALSE)</f>
        <v>-1</v>
      </c>
      <c r="H31">
        <f>VLOOKUP(A31,[2]Sheet1!$A:$D,3,FALSE)</f>
        <v>-1</v>
      </c>
      <c r="I31">
        <f>VLOOKUP(A31,[2]Sheet1!$A:$D,4,FALSE)</f>
        <v>4</v>
      </c>
      <c r="J31" t="str">
        <f>VLOOKUP(A31,[3]Sheet1!$A:$C,2,FALSE)</f>
        <v>AUTO</v>
      </c>
      <c r="K31" t="str">
        <f>VLOOKUP(A31,[3]Sheet1!$A:$C,3,FALSE)</f>
        <v>ALL</v>
      </c>
    </row>
    <row r="32" spans="1:11" x14ac:dyDescent="0.25">
      <c r="A32" s="2" t="s">
        <v>35</v>
      </c>
      <c r="B32">
        <v>73</v>
      </c>
      <c r="C32" t="s">
        <v>7</v>
      </c>
      <c r="D32" t="str">
        <f>VLOOKUP(A32,[1]Sheet1!$A:$D,2,FALSE)</f>
        <v>GE MEDICAL SYSTEMS</v>
      </c>
      <c r="E32" t="str">
        <f>VLOOKUP(A32,[1]Sheet1!$A:$D,3,FALSE)</f>
        <v>DISCOVERY MR450</v>
      </c>
      <c r="F32">
        <f>VLOOKUP(A32,[1]Sheet1!$A:$D,4,FALSE)</f>
        <v>1.5</v>
      </c>
      <c r="G32">
        <f>VLOOKUP(A32,[2]Sheet1!$A:$D,2,FALSE)</f>
        <v>0</v>
      </c>
      <c r="H32">
        <f>VLOOKUP(A32,[2]Sheet1!$A:$D,3,FALSE)</f>
        <v>-1</v>
      </c>
      <c r="I32">
        <f>VLOOKUP(A32,[2]Sheet1!$A:$D,4,FALSE)</f>
        <v>4</v>
      </c>
      <c r="J32" t="str">
        <f>VLOOKUP(A32,[3]Sheet1!$A:$C,2,FALSE)</f>
        <v>OBS1</v>
      </c>
      <c r="K32" t="str">
        <f>VLOOKUP(A32,[3]Sheet1!$A:$C,3,FALSE)</f>
        <v>T2</v>
      </c>
    </row>
    <row r="33" spans="1:11" x14ac:dyDescent="0.25">
      <c r="A33" s="2" t="s">
        <v>36</v>
      </c>
      <c r="B33">
        <v>53</v>
      </c>
      <c r="C33" t="s">
        <v>4</v>
      </c>
      <c r="D33" t="str">
        <f>VLOOKUP(A33,[1]Sheet1!$A:$D,2,FALSE)</f>
        <v>SIEMENS</v>
      </c>
      <c r="E33" t="str">
        <f>VLOOKUP(A33,[1]Sheet1!$A:$D,3,FALSE)</f>
        <v>Symphony</v>
      </c>
      <c r="F33">
        <f>VLOOKUP(A33,[1]Sheet1!$A:$D,4,FALSE)</f>
        <v>1.5</v>
      </c>
      <c r="G33">
        <f>VLOOKUP(A33,[2]Sheet1!$A:$D,2,FALSE)</f>
        <v>-1</v>
      </c>
      <c r="H33">
        <f>VLOOKUP(A33,[2]Sheet1!$A:$D,3,FALSE)</f>
        <v>-1</v>
      </c>
      <c r="I33">
        <f>VLOOKUP(A33,[2]Sheet1!$A:$D,4,FALSE)</f>
        <v>4</v>
      </c>
      <c r="J33" t="str">
        <f>VLOOKUP(A33,[3]Sheet1!$A:$C,2,FALSE)</f>
        <v>AUTO</v>
      </c>
      <c r="K33" t="str">
        <f>VLOOKUP(A33,[3]Sheet1!$A:$C,3,FALSE)</f>
        <v>ALL</v>
      </c>
    </row>
    <row r="34" spans="1:11" x14ac:dyDescent="0.25">
      <c r="A34" s="2" t="s">
        <v>37</v>
      </c>
      <c r="B34">
        <v>74</v>
      </c>
      <c r="C34" t="s">
        <v>4</v>
      </c>
      <c r="D34" t="str">
        <f>VLOOKUP(A34,[1]Sheet1!$A:$D,2,FALSE)</f>
        <v>Philips Medical Systems</v>
      </c>
      <c r="E34" t="str">
        <f>VLOOKUP(A34,[1]Sheet1!$A:$D,3,FALSE)</f>
        <v>Achieva</v>
      </c>
      <c r="F34">
        <f>VLOOKUP(A34,[1]Sheet1!$A:$D,4,FALSE)</f>
        <v>1.5</v>
      </c>
      <c r="G34">
        <f>VLOOKUP(A34,[2]Sheet1!$A:$D,2,FALSE)</f>
        <v>1</v>
      </c>
      <c r="H34">
        <f>VLOOKUP(A34,[2]Sheet1!$A:$D,3,FALSE)</f>
        <v>1</v>
      </c>
      <c r="I34">
        <f>VLOOKUP(A34,[2]Sheet1!$A:$D,4,FALSE)</f>
        <v>2</v>
      </c>
      <c r="J34" t="str">
        <f>VLOOKUP(A34,[3]Sheet1!$A:$C,2,FALSE)</f>
        <v>OBS1</v>
      </c>
      <c r="K34" t="str">
        <f>VLOOKUP(A34,[3]Sheet1!$A:$C,3,FALSE)</f>
        <v>T2</v>
      </c>
    </row>
    <row r="35" spans="1:11" x14ac:dyDescent="0.25">
      <c r="A35" s="2" t="s">
        <v>38</v>
      </c>
      <c r="B35">
        <v>-1</v>
      </c>
      <c r="C35" t="s">
        <v>4</v>
      </c>
      <c r="D35" t="str">
        <f>VLOOKUP(A35,[1]Sheet1!$A:$D,2,FALSE)</f>
        <v>Philips Healthcare</v>
      </c>
      <c r="E35" t="str">
        <f>VLOOKUP(A35,[1]Sheet1!$A:$D,3,FALSE)</f>
        <v>Ingenia</v>
      </c>
      <c r="F35">
        <f>VLOOKUP(A35,[1]Sheet1!$A:$D,4,FALSE)</f>
        <v>3</v>
      </c>
      <c r="G35">
        <f>VLOOKUP(A35,[2]Sheet1!$A:$D,2,FALSE)</f>
        <v>0</v>
      </c>
      <c r="H35">
        <f>VLOOKUP(A35,[2]Sheet1!$A:$D,3,FALSE)</f>
        <v>-1</v>
      </c>
      <c r="I35">
        <f>VLOOKUP(A35,[2]Sheet1!$A:$D,4,FALSE)</f>
        <v>-1</v>
      </c>
      <c r="J35" t="str">
        <f>VLOOKUP(A35,[3]Sheet1!$A:$C,2,FALSE)</f>
        <v>AUTO</v>
      </c>
      <c r="K35" t="str">
        <f>VLOOKUP(A35,[3]Sheet1!$A:$C,3,FALSE)</f>
        <v>ALL</v>
      </c>
    </row>
    <row r="36" spans="1:11" x14ac:dyDescent="0.25">
      <c r="A36" s="2" t="s">
        <v>39</v>
      </c>
      <c r="B36">
        <v>51</v>
      </c>
      <c r="C36" t="s">
        <v>7</v>
      </c>
      <c r="D36" t="str">
        <f>VLOOKUP(A36,[1]Sheet1!$A:$D,2,FALSE)</f>
        <v>SIEMENS</v>
      </c>
      <c r="E36" t="str">
        <f>VLOOKUP(A36,[1]Sheet1!$A:$D,3,FALSE)</f>
        <v>MAGNETOM_ESSENZA</v>
      </c>
      <c r="F36">
        <f>VLOOKUP(A36,[1]Sheet1!$A:$D,4,FALSE)</f>
        <v>1.5</v>
      </c>
      <c r="G36">
        <f>VLOOKUP(A36,[2]Sheet1!$A:$D,2,FALSE)</f>
        <v>0</v>
      </c>
      <c r="H36">
        <f>VLOOKUP(A36,[2]Sheet1!$A:$D,3,FALSE)</f>
        <v>-1</v>
      </c>
      <c r="I36">
        <f>VLOOKUP(A36,[2]Sheet1!$A:$D,4,FALSE)</f>
        <v>4</v>
      </c>
      <c r="J36" t="str">
        <f>VLOOKUP(A36,[3]Sheet1!$A:$C,2,FALSE)</f>
        <v>OBS1</v>
      </c>
      <c r="K36" t="str">
        <f>VLOOKUP(A36,[3]Sheet1!$A:$C,3,FALSE)</f>
        <v>T2</v>
      </c>
    </row>
    <row r="37" spans="1:11" x14ac:dyDescent="0.25">
      <c r="A37" s="2" t="s">
        <v>40</v>
      </c>
      <c r="B37">
        <v>77</v>
      </c>
      <c r="C37" t="s">
        <v>4</v>
      </c>
      <c r="D37" t="str">
        <f>VLOOKUP(A37,[1]Sheet1!$A:$D,2,FALSE)</f>
        <v>SIEMENS</v>
      </c>
      <c r="E37" t="str">
        <f>VLOOKUP(A37,[1]Sheet1!$A:$D,3,FALSE)</f>
        <v>Harmony</v>
      </c>
      <c r="F37">
        <f>VLOOKUP(A37,[1]Sheet1!$A:$D,4,FALSE)</f>
        <v>1</v>
      </c>
      <c r="G37">
        <f>VLOOKUP(A37,[2]Sheet1!$A:$D,2,FALSE)</f>
        <v>-1</v>
      </c>
      <c r="H37">
        <f>VLOOKUP(A37,[2]Sheet1!$A:$D,3,FALSE)</f>
        <v>-1</v>
      </c>
      <c r="I37">
        <f>VLOOKUP(A37,[2]Sheet1!$A:$D,4,FALSE)</f>
        <v>3</v>
      </c>
      <c r="J37" t="str">
        <f>VLOOKUP(A37,[3]Sheet1!$A:$C,2,FALSE)</f>
        <v>AUTO</v>
      </c>
      <c r="K37" t="str">
        <f>VLOOKUP(A37,[3]Sheet1!$A:$C,3,FALSE)</f>
        <v>ALL</v>
      </c>
    </row>
    <row r="38" spans="1:11" x14ac:dyDescent="0.25">
      <c r="A38" s="2" t="s">
        <v>41</v>
      </c>
      <c r="B38">
        <v>38</v>
      </c>
      <c r="C38" t="s">
        <v>4</v>
      </c>
      <c r="D38" t="str">
        <f>VLOOKUP(A38,[1]Sheet1!$A:$D,2,FALSE)</f>
        <v>GE MEDICAL SYSTEMS</v>
      </c>
      <c r="E38" t="str">
        <f>VLOOKUP(A38,[1]Sheet1!$A:$D,3,FALSE)</f>
        <v>DISCOVERY MR450</v>
      </c>
      <c r="F38">
        <f>VLOOKUP(A38,[1]Sheet1!$A:$D,4,FALSE)</f>
        <v>1.5</v>
      </c>
      <c r="G38">
        <f>VLOOKUP(A38,[2]Sheet1!$A:$D,2,FALSE)</f>
        <v>-1</v>
      </c>
      <c r="H38">
        <f>VLOOKUP(A38,[2]Sheet1!$A:$D,3,FALSE)</f>
        <v>-1</v>
      </c>
      <c r="I38">
        <f>VLOOKUP(A38,[2]Sheet1!$A:$D,4,FALSE)</f>
        <v>4</v>
      </c>
      <c r="J38" t="str">
        <f>VLOOKUP(A38,[3]Sheet1!$A:$C,2,FALSE)</f>
        <v>AUTO</v>
      </c>
      <c r="K38" t="str">
        <f>VLOOKUP(A38,[3]Sheet1!$A:$C,3,FALSE)</f>
        <v>ALL</v>
      </c>
    </row>
    <row r="39" spans="1:11" x14ac:dyDescent="0.25">
      <c r="A39" s="2" t="s">
        <v>42</v>
      </c>
      <c r="B39">
        <v>37</v>
      </c>
      <c r="C39" t="s">
        <v>4</v>
      </c>
      <c r="D39" t="str">
        <f>VLOOKUP(A39,[1]Sheet1!$A:$D,2,FALSE)</f>
        <v>GE MEDICAL SYSTEMS</v>
      </c>
      <c r="E39" t="str">
        <f>VLOOKUP(A39,[1]Sheet1!$A:$D,3,FALSE)</f>
        <v>Signa HDxt</v>
      </c>
      <c r="F39">
        <f>VLOOKUP(A39,[1]Sheet1!$A:$D,4,FALSE)</f>
        <v>1.5</v>
      </c>
      <c r="G39">
        <f>VLOOKUP(A39,[2]Sheet1!$A:$D,2,FALSE)</f>
        <v>-1</v>
      </c>
      <c r="H39">
        <f>VLOOKUP(A39,[2]Sheet1!$A:$D,3,FALSE)</f>
        <v>-1</v>
      </c>
      <c r="I39">
        <f>VLOOKUP(A39,[2]Sheet1!$A:$D,4,FALSE)</f>
        <v>4</v>
      </c>
      <c r="J39" t="str">
        <f>VLOOKUP(A39,[3]Sheet1!$A:$C,2,FALSE)</f>
        <v>AUTO</v>
      </c>
      <c r="K39" t="str">
        <f>VLOOKUP(A39,[3]Sheet1!$A:$C,3,FALSE)</f>
        <v>ALL</v>
      </c>
    </row>
    <row r="40" spans="1:11" x14ac:dyDescent="0.25">
      <c r="A40" s="2" t="s">
        <v>43</v>
      </c>
      <c r="B40">
        <v>61</v>
      </c>
      <c r="C40" t="s">
        <v>4</v>
      </c>
      <c r="D40" t="str">
        <f>VLOOKUP(A40,[1]Sheet1!$A:$D,2,FALSE)</f>
        <v>GE MEDICAL SYSTEMS</v>
      </c>
      <c r="E40" t="str">
        <f>VLOOKUP(A40,[1]Sheet1!$A:$D,3,FALSE)</f>
        <v>GENESIS_SIGNA</v>
      </c>
      <c r="F40">
        <f>VLOOKUP(A40,[1]Sheet1!$A:$D,4,FALSE)</f>
        <v>1</v>
      </c>
      <c r="G40">
        <f>VLOOKUP(A40,[2]Sheet1!$A:$D,2,FALSE)</f>
        <v>-1</v>
      </c>
      <c r="H40">
        <f>VLOOKUP(A40,[2]Sheet1!$A:$D,3,FALSE)</f>
        <v>-1</v>
      </c>
      <c r="I40">
        <f>VLOOKUP(A40,[2]Sheet1!$A:$D,4,FALSE)</f>
        <v>4</v>
      </c>
      <c r="J40" t="str">
        <f>VLOOKUP(A40,[3]Sheet1!$A:$C,2,FALSE)</f>
        <v>AUTO</v>
      </c>
      <c r="K40" t="str">
        <f>VLOOKUP(A40,[3]Sheet1!$A:$C,3,FALSE)</f>
        <v>ALL</v>
      </c>
    </row>
    <row r="41" spans="1:11" x14ac:dyDescent="0.25">
      <c r="A41" s="2" t="s">
        <v>44</v>
      </c>
      <c r="B41">
        <v>59</v>
      </c>
      <c r="C41" t="s">
        <v>4</v>
      </c>
      <c r="D41" t="str">
        <f>VLOOKUP(A41,[1]Sheet1!$A:$D,2,FALSE)</f>
        <v>GE MEDICAL SYSTEMS</v>
      </c>
      <c r="E41" t="str">
        <f>VLOOKUP(A41,[1]Sheet1!$A:$D,3,FALSE)</f>
        <v>GENESIS_SIGNA</v>
      </c>
      <c r="F41">
        <f>VLOOKUP(A41,[1]Sheet1!$A:$D,4,FALSE)</f>
        <v>1</v>
      </c>
      <c r="G41">
        <f>VLOOKUP(A41,[2]Sheet1!$A:$D,2,FALSE)</f>
        <v>-1</v>
      </c>
      <c r="H41">
        <f>VLOOKUP(A41,[2]Sheet1!$A:$D,3,FALSE)</f>
        <v>-1</v>
      </c>
      <c r="I41">
        <f>VLOOKUP(A41,[2]Sheet1!$A:$D,4,FALSE)</f>
        <v>4</v>
      </c>
      <c r="J41" t="str">
        <f>VLOOKUP(A41,[3]Sheet1!$A:$C,2,FALSE)</f>
        <v>AUTO</v>
      </c>
      <c r="K41" t="str">
        <f>VLOOKUP(A41,[3]Sheet1!$A:$C,3,FALSE)</f>
        <v>ALL</v>
      </c>
    </row>
    <row r="42" spans="1:11" x14ac:dyDescent="0.25">
      <c r="A42" s="2" t="s">
        <v>45</v>
      </c>
      <c r="B42">
        <v>76</v>
      </c>
      <c r="C42" t="s">
        <v>4</v>
      </c>
      <c r="D42" t="str">
        <f>VLOOKUP(A42,[1]Sheet1!$A:$D,2,FALSE)</f>
        <v>SIEMENS</v>
      </c>
      <c r="E42" t="str">
        <f>VLOOKUP(A42,[1]Sheet1!$A:$D,3,FALSE)</f>
        <v>MAGNETOM_ESSENZA</v>
      </c>
      <c r="F42">
        <f>VLOOKUP(A42,[1]Sheet1!$A:$D,4,FALSE)</f>
        <v>1.5</v>
      </c>
      <c r="G42">
        <f>VLOOKUP(A42,[2]Sheet1!$A:$D,2,FALSE)</f>
        <v>0</v>
      </c>
      <c r="H42">
        <f>VLOOKUP(A42,[2]Sheet1!$A:$D,3,FALSE)</f>
        <v>0</v>
      </c>
      <c r="I42">
        <f>VLOOKUP(A42,[2]Sheet1!$A:$D,4,FALSE)</f>
        <v>2</v>
      </c>
      <c r="J42" t="str">
        <f>VLOOKUP(A42,[3]Sheet1!$A:$C,2,FALSE)</f>
        <v>OBS1</v>
      </c>
      <c r="K42" t="str">
        <f>VLOOKUP(A42,[3]Sheet1!$A:$C,3,FALSE)</f>
        <v>FLAIR</v>
      </c>
    </row>
    <row r="43" spans="1:11" x14ac:dyDescent="0.25">
      <c r="A43" s="2" t="s">
        <v>46</v>
      </c>
      <c r="B43">
        <v>47</v>
      </c>
      <c r="C43" t="s">
        <v>4</v>
      </c>
      <c r="D43" t="str">
        <f>VLOOKUP(A43,[1]Sheet1!$A:$D,2,FALSE)</f>
        <v>Philips Medical Systems</v>
      </c>
      <c r="E43" t="str">
        <f>VLOOKUP(A43,[1]Sheet1!$A:$D,3,FALSE)</f>
        <v>Achieva</v>
      </c>
      <c r="F43">
        <f>VLOOKUP(A43,[1]Sheet1!$A:$D,4,FALSE)</f>
        <v>1.5</v>
      </c>
      <c r="G43">
        <f>VLOOKUP(A43,[2]Sheet1!$A:$D,2,FALSE)</f>
        <v>-1</v>
      </c>
      <c r="H43">
        <f>VLOOKUP(A43,[2]Sheet1!$A:$D,3,FALSE)</f>
        <v>-1</v>
      </c>
      <c r="I43">
        <f>VLOOKUP(A43,[2]Sheet1!$A:$D,4,FALSE)</f>
        <v>4</v>
      </c>
      <c r="J43" t="str">
        <f>VLOOKUP(A43,[3]Sheet1!$A:$C,2,FALSE)</f>
        <v>AUTO</v>
      </c>
      <c r="K43" t="str">
        <f>VLOOKUP(A43,[3]Sheet1!$A:$C,3,FALSE)</f>
        <v>ALL</v>
      </c>
    </row>
    <row r="44" spans="1:11" x14ac:dyDescent="0.25">
      <c r="A44" s="2" t="s">
        <v>47</v>
      </c>
      <c r="B44">
        <v>35</v>
      </c>
      <c r="C44" t="s">
        <v>4</v>
      </c>
      <c r="D44" t="str">
        <f>VLOOKUP(A44,[1]Sheet1!$A:$D,2,FALSE)</f>
        <v>SIEMENS</v>
      </c>
      <c r="E44" t="str">
        <f>VLOOKUP(A44,[1]Sheet1!$A:$D,3,FALSE)</f>
        <v>Symphony</v>
      </c>
      <c r="F44">
        <f>VLOOKUP(A44,[1]Sheet1!$A:$D,4,FALSE)</f>
        <v>1.5</v>
      </c>
      <c r="G44">
        <f>VLOOKUP(A44,[2]Sheet1!$A:$D,2,FALSE)</f>
        <v>-1</v>
      </c>
      <c r="H44">
        <f>VLOOKUP(A44,[2]Sheet1!$A:$D,3,FALSE)</f>
        <v>-1</v>
      </c>
      <c r="I44">
        <f>VLOOKUP(A44,[2]Sheet1!$A:$D,4,FALSE)</f>
        <v>4</v>
      </c>
      <c r="J44" t="str">
        <f>VLOOKUP(A44,[3]Sheet1!$A:$C,2,FALSE)</f>
        <v>AUTO</v>
      </c>
      <c r="K44" t="str">
        <f>VLOOKUP(A44,[3]Sheet1!$A:$C,3,FALSE)</f>
        <v>ALL</v>
      </c>
    </row>
    <row r="45" spans="1:11" x14ac:dyDescent="0.25">
      <c r="A45" s="2" t="s">
        <v>48</v>
      </c>
      <c r="B45">
        <v>60</v>
      </c>
      <c r="C45" t="s">
        <v>7</v>
      </c>
      <c r="D45" t="str">
        <f>VLOOKUP(A45,[1]Sheet1!$A:$D,2,FALSE)</f>
        <v>Philips Medical Systems</v>
      </c>
      <c r="E45" t="str">
        <f>VLOOKUP(A45,[1]Sheet1!$A:$D,3,FALSE)</f>
        <v>Intera</v>
      </c>
      <c r="F45">
        <f>VLOOKUP(A45,[1]Sheet1!$A:$D,4,FALSE)</f>
        <v>1.5</v>
      </c>
      <c r="G45">
        <f>VLOOKUP(A45,[2]Sheet1!$A:$D,2,FALSE)</f>
        <v>-1</v>
      </c>
      <c r="H45">
        <f>VLOOKUP(A45,[2]Sheet1!$A:$D,3,FALSE)</f>
        <v>-1</v>
      </c>
      <c r="I45">
        <f>VLOOKUP(A45,[2]Sheet1!$A:$D,4,FALSE)</f>
        <v>4</v>
      </c>
      <c r="J45" t="str">
        <f>VLOOKUP(A45,[3]Sheet1!$A:$C,2,FALSE)</f>
        <v>AUTO</v>
      </c>
      <c r="K45" t="str">
        <f>VLOOKUP(A45,[3]Sheet1!$A:$C,3,FALSE)</f>
        <v>ALL</v>
      </c>
    </row>
    <row r="46" spans="1:11" x14ac:dyDescent="0.25">
      <c r="A46" s="2" t="s">
        <v>49</v>
      </c>
      <c r="B46">
        <v>70</v>
      </c>
      <c r="C46" t="s">
        <v>4</v>
      </c>
      <c r="D46" t="str">
        <f>VLOOKUP(A46,[1]Sheet1!$A:$D,2,FALSE)</f>
        <v>SIEMENS</v>
      </c>
      <c r="E46" t="str">
        <f>VLOOKUP(A46,[1]Sheet1!$A:$D,3,FALSE)</f>
        <v>Skyra</v>
      </c>
      <c r="F46">
        <f>VLOOKUP(A46,[1]Sheet1!$A:$D,4,FALSE)</f>
        <v>3</v>
      </c>
      <c r="G46">
        <f>VLOOKUP(A46,[2]Sheet1!$A:$D,2,FALSE)</f>
        <v>0</v>
      </c>
      <c r="H46">
        <f>VLOOKUP(A46,[2]Sheet1!$A:$D,3,FALSE)</f>
        <v>-1</v>
      </c>
      <c r="I46">
        <f>VLOOKUP(A46,[2]Sheet1!$A:$D,4,FALSE)</f>
        <v>4</v>
      </c>
      <c r="J46" t="str">
        <f>VLOOKUP(A46,[3]Sheet1!$A:$C,2,FALSE)</f>
        <v>AUTO</v>
      </c>
      <c r="K46" t="str">
        <f>VLOOKUP(A46,[3]Sheet1!$A:$C,3,FALSE)</f>
        <v>ALL</v>
      </c>
    </row>
    <row r="47" spans="1:11" x14ac:dyDescent="0.25">
      <c r="A47" s="2" t="s">
        <v>50</v>
      </c>
      <c r="B47">
        <v>55</v>
      </c>
      <c r="C47" t="s">
        <v>4</v>
      </c>
      <c r="D47" t="str">
        <f>VLOOKUP(A47,[1]Sheet1!$A:$D,2,FALSE)</f>
        <v>Philips Medical Systems</v>
      </c>
      <c r="E47" t="str">
        <f>VLOOKUP(A47,[1]Sheet1!$A:$D,3,FALSE)</f>
        <v>NT Intera</v>
      </c>
      <c r="F47">
        <f>VLOOKUP(A47,[1]Sheet1!$A:$D,4,FALSE)</f>
        <v>1.5</v>
      </c>
      <c r="G47">
        <f>VLOOKUP(A47,[2]Sheet1!$A:$D,2,FALSE)</f>
        <v>-1</v>
      </c>
      <c r="H47">
        <f>VLOOKUP(A47,[2]Sheet1!$A:$D,3,FALSE)</f>
        <v>-1</v>
      </c>
      <c r="I47">
        <f>VLOOKUP(A47,[2]Sheet1!$A:$D,4,FALSE)</f>
        <v>4</v>
      </c>
      <c r="J47" t="str">
        <f>VLOOKUP(A47,[3]Sheet1!$A:$C,2,FALSE)</f>
        <v>AUTO</v>
      </c>
      <c r="K47" t="str">
        <f>VLOOKUP(A47,[3]Sheet1!$A:$C,3,FALSE)</f>
        <v>ALL</v>
      </c>
    </row>
    <row r="48" spans="1:11" x14ac:dyDescent="0.25">
      <c r="A48" s="2" t="s">
        <v>51</v>
      </c>
      <c r="B48">
        <v>27</v>
      </c>
      <c r="C48" t="s">
        <v>4</v>
      </c>
      <c r="D48" t="str">
        <f>VLOOKUP(A48,[1]Sheet1!$A:$D,2,FALSE)</f>
        <v>SIEMENS</v>
      </c>
      <c r="E48" t="str">
        <f>VLOOKUP(A48,[1]Sheet1!$A:$D,3,FALSE)</f>
        <v>Avanto</v>
      </c>
      <c r="F48">
        <f>VLOOKUP(A48,[1]Sheet1!$A:$D,4,FALSE)</f>
        <v>1.5</v>
      </c>
      <c r="G48">
        <f>VLOOKUP(A48,[2]Sheet1!$A:$D,2,FALSE)</f>
        <v>1</v>
      </c>
      <c r="H48">
        <f>VLOOKUP(A48,[2]Sheet1!$A:$D,3,FALSE)</f>
        <v>0</v>
      </c>
      <c r="I48">
        <f>VLOOKUP(A48,[2]Sheet1!$A:$D,4,FALSE)</f>
        <v>-1</v>
      </c>
      <c r="J48" t="str">
        <f>VLOOKUP(A48,[3]Sheet1!$A:$C,2,FALSE)</f>
        <v>OBS2</v>
      </c>
      <c r="K48" t="str">
        <f>VLOOKUP(A48,[3]Sheet1!$A:$C,3,FALSE)</f>
        <v>FLAIR</v>
      </c>
    </row>
    <row r="49" spans="1:11" x14ac:dyDescent="0.25">
      <c r="A49" s="2" t="s">
        <v>52</v>
      </c>
      <c r="B49">
        <v>78</v>
      </c>
      <c r="C49" t="s">
        <v>7</v>
      </c>
      <c r="D49" t="str">
        <f>VLOOKUP(A49,[1]Sheet1!$A:$D,2,FALSE)</f>
        <v>SIEMENS</v>
      </c>
      <c r="E49" t="str">
        <f>VLOOKUP(A49,[1]Sheet1!$A:$D,3,FALSE)</f>
        <v>Symphony</v>
      </c>
      <c r="F49">
        <f>VLOOKUP(A49,[1]Sheet1!$A:$D,4,FALSE)</f>
        <v>1.5</v>
      </c>
      <c r="G49">
        <f>VLOOKUP(A49,[2]Sheet1!$A:$D,2,FALSE)</f>
        <v>-1</v>
      </c>
      <c r="H49">
        <f>VLOOKUP(A49,[2]Sheet1!$A:$D,3,FALSE)</f>
        <v>-1</v>
      </c>
      <c r="I49">
        <f>VLOOKUP(A49,[2]Sheet1!$A:$D,4,FALSE)</f>
        <v>4</v>
      </c>
      <c r="J49" t="str">
        <f>VLOOKUP(A49,[3]Sheet1!$A:$C,2,FALSE)</f>
        <v>AUTO</v>
      </c>
      <c r="K49" t="str">
        <f>VLOOKUP(A49,[3]Sheet1!$A:$C,3,FALSE)</f>
        <v>ALL</v>
      </c>
    </row>
    <row r="50" spans="1:11" x14ac:dyDescent="0.25">
      <c r="A50" s="2" t="s">
        <v>53</v>
      </c>
      <c r="B50">
        <v>27</v>
      </c>
      <c r="C50" t="s">
        <v>4</v>
      </c>
      <c r="D50" t="str">
        <f>VLOOKUP(A50,[1]Sheet1!$A:$D,2,FALSE)</f>
        <v>SIEMENS</v>
      </c>
      <c r="E50" t="str">
        <f>VLOOKUP(A50,[1]Sheet1!$A:$D,3,FALSE)</f>
        <v>Sonata</v>
      </c>
      <c r="F50">
        <f>VLOOKUP(A50,[1]Sheet1!$A:$D,4,FALSE)</f>
        <v>1.5</v>
      </c>
      <c r="G50">
        <f>VLOOKUP(A50,[2]Sheet1!$A:$D,2,FALSE)</f>
        <v>-1</v>
      </c>
      <c r="H50">
        <f>VLOOKUP(A50,[2]Sheet1!$A:$D,3,FALSE)</f>
        <v>-1</v>
      </c>
      <c r="I50">
        <f>VLOOKUP(A50,[2]Sheet1!$A:$D,4,FALSE)</f>
        <v>4</v>
      </c>
      <c r="J50" t="str">
        <f>VLOOKUP(A50,[3]Sheet1!$A:$C,2,FALSE)</f>
        <v>AUTO</v>
      </c>
      <c r="K50" t="str">
        <f>VLOOKUP(A50,[3]Sheet1!$A:$C,3,FALSE)</f>
        <v>ALL</v>
      </c>
    </row>
    <row r="51" spans="1:11" x14ac:dyDescent="0.25">
      <c r="A51" s="2" t="s">
        <v>54</v>
      </c>
      <c r="B51">
        <v>70</v>
      </c>
      <c r="C51" t="s">
        <v>4</v>
      </c>
      <c r="D51" t="str">
        <f>VLOOKUP(A51,[1]Sheet1!$A:$D,2,FALSE)</f>
        <v>SIEMENS</v>
      </c>
      <c r="E51" t="str">
        <f>VLOOKUP(A51,[1]Sheet1!$A:$D,3,FALSE)</f>
        <v>Avanto</v>
      </c>
      <c r="F51">
        <f>VLOOKUP(A51,[1]Sheet1!$A:$D,4,FALSE)</f>
        <v>1.5</v>
      </c>
      <c r="G51">
        <f>VLOOKUP(A51,[2]Sheet1!$A:$D,2,FALSE)</f>
        <v>0</v>
      </c>
      <c r="H51">
        <f>VLOOKUP(A51,[2]Sheet1!$A:$D,3,FALSE)</f>
        <v>-1</v>
      </c>
      <c r="I51">
        <f>VLOOKUP(A51,[2]Sheet1!$A:$D,4,FALSE)</f>
        <v>4</v>
      </c>
      <c r="J51" t="str">
        <f>VLOOKUP(A51,[3]Sheet1!$A:$C,2,FALSE)</f>
        <v>AUTO</v>
      </c>
      <c r="K51" t="str">
        <f>VLOOKUP(A51,[3]Sheet1!$A:$C,3,FALSE)</f>
        <v>ALL</v>
      </c>
    </row>
    <row r="52" spans="1:11" x14ac:dyDescent="0.25">
      <c r="A52" s="2" t="s">
        <v>55</v>
      </c>
      <c r="B52">
        <v>63</v>
      </c>
      <c r="C52" t="s">
        <v>7</v>
      </c>
      <c r="D52" t="str">
        <f>VLOOKUP(A52,[1]Sheet1!$A:$D,2,FALSE)</f>
        <v>GE MEDICAL SYSTEMS</v>
      </c>
      <c r="E52" t="str">
        <f>VLOOKUP(A52,[1]Sheet1!$A:$D,3,FALSE)</f>
        <v>SIGNA HDx</v>
      </c>
      <c r="F52">
        <f>VLOOKUP(A52,[1]Sheet1!$A:$D,4,FALSE)</f>
        <v>1.5</v>
      </c>
      <c r="G52">
        <f>VLOOKUP(A52,[2]Sheet1!$A:$D,2,FALSE)</f>
        <v>-1</v>
      </c>
      <c r="H52">
        <f>VLOOKUP(A52,[2]Sheet1!$A:$D,3,FALSE)</f>
        <v>-1</v>
      </c>
      <c r="I52">
        <f>VLOOKUP(A52,[2]Sheet1!$A:$D,4,FALSE)</f>
        <v>3</v>
      </c>
      <c r="J52" t="str">
        <f>VLOOKUP(A52,[3]Sheet1!$A:$C,2,FALSE)</f>
        <v>AUTO</v>
      </c>
      <c r="K52" t="str">
        <f>VLOOKUP(A52,[3]Sheet1!$A:$C,3,FALSE)</f>
        <v>ALL</v>
      </c>
    </row>
    <row r="53" spans="1:11" x14ac:dyDescent="0.25">
      <c r="A53" s="2" t="s">
        <v>56</v>
      </c>
      <c r="B53">
        <v>68</v>
      </c>
      <c r="C53" t="s">
        <v>4</v>
      </c>
      <c r="D53" t="str">
        <f>VLOOKUP(A53,[1]Sheet1!$A:$D,2,FALSE)</f>
        <v>Philips Medical Systems</v>
      </c>
      <c r="E53" t="str">
        <f>VLOOKUP(A53,[1]Sheet1!$A:$D,3,FALSE)</f>
        <v>Intera</v>
      </c>
      <c r="F53">
        <f>VLOOKUP(A53,[1]Sheet1!$A:$D,4,FALSE)</f>
        <v>1.5</v>
      </c>
      <c r="G53">
        <f>VLOOKUP(A53,[2]Sheet1!$A:$D,2,FALSE)</f>
        <v>0</v>
      </c>
      <c r="H53">
        <f>VLOOKUP(A53,[2]Sheet1!$A:$D,3,FALSE)</f>
        <v>-1</v>
      </c>
      <c r="I53">
        <f>VLOOKUP(A53,[2]Sheet1!$A:$D,4,FALSE)</f>
        <v>4</v>
      </c>
      <c r="J53" t="str">
        <f>VLOOKUP(A53,[3]Sheet1!$A:$C,2,FALSE)</f>
        <v>OBS1</v>
      </c>
      <c r="K53" t="str">
        <f>VLOOKUP(A53,[3]Sheet1!$A:$C,3,FALSE)</f>
        <v>T2</v>
      </c>
    </row>
    <row r="54" spans="1:11" x14ac:dyDescent="0.25">
      <c r="A54" s="2" t="s">
        <v>57</v>
      </c>
      <c r="B54">
        <v>56</v>
      </c>
      <c r="C54" t="s">
        <v>4</v>
      </c>
      <c r="D54" t="str">
        <f>VLOOKUP(A54,[1]Sheet1!$A:$D,2,FALSE)</f>
        <v>SIEMENS</v>
      </c>
      <c r="E54" t="str">
        <f>VLOOKUP(A54,[1]Sheet1!$A:$D,3,FALSE)</f>
        <v>Symphony</v>
      </c>
      <c r="F54">
        <f>VLOOKUP(A54,[1]Sheet1!$A:$D,4,FALSE)</f>
        <v>1.5</v>
      </c>
      <c r="G54">
        <f>VLOOKUP(A54,[2]Sheet1!$A:$D,2,FALSE)</f>
        <v>0</v>
      </c>
      <c r="H54">
        <f>VLOOKUP(A54,[2]Sheet1!$A:$D,3,FALSE)</f>
        <v>-1</v>
      </c>
      <c r="I54">
        <f>VLOOKUP(A54,[2]Sheet1!$A:$D,4,FALSE)</f>
        <v>4</v>
      </c>
      <c r="J54" t="str">
        <f>VLOOKUP(A54,[3]Sheet1!$A:$C,2,FALSE)</f>
        <v>OBS1</v>
      </c>
      <c r="K54" t="str">
        <f>VLOOKUP(A54,[3]Sheet1!$A:$C,3,FALSE)</f>
        <v>T2</v>
      </c>
    </row>
    <row r="55" spans="1:11" x14ac:dyDescent="0.25">
      <c r="A55" s="2" t="s">
        <v>58</v>
      </c>
      <c r="B55">
        <v>79</v>
      </c>
      <c r="C55" t="s">
        <v>7</v>
      </c>
      <c r="D55" t="str">
        <f>VLOOKUP(A55,[1]Sheet1!$A:$D,2,FALSE)</f>
        <v>SIEMENS</v>
      </c>
      <c r="E55" t="str">
        <f>VLOOKUP(A55,[1]Sheet1!$A:$D,3,FALSE)</f>
        <v>Avanto</v>
      </c>
      <c r="F55">
        <f>VLOOKUP(A55,[1]Sheet1!$A:$D,4,FALSE)</f>
        <v>1.5</v>
      </c>
      <c r="G55">
        <f>VLOOKUP(A55,[2]Sheet1!$A:$D,2,FALSE)</f>
        <v>-1</v>
      </c>
      <c r="H55">
        <f>VLOOKUP(A55,[2]Sheet1!$A:$D,3,FALSE)</f>
        <v>-1</v>
      </c>
      <c r="I55">
        <f>VLOOKUP(A55,[2]Sheet1!$A:$D,4,FALSE)</f>
        <v>4</v>
      </c>
      <c r="J55" t="str">
        <f>VLOOKUP(A55,[3]Sheet1!$A:$C,2,FALSE)</f>
        <v>AUTO</v>
      </c>
      <c r="K55" t="str">
        <f>VLOOKUP(A55,[3]Sheet1!$A:$C,3,FALSE)</f>
        <v>ALL</v>
      </c>
    </row>
    <row r="56" spans="1:11" x14ac:dyDescent="0.25">
      <c r="A56" s="2" t="s">
        <v>59</v>
      </c>
      <c r="B56">
        <v>55</v>
      </c>
      <c r="C56" t="s">
        <v>4</v>
      </c>
      <c r="D56" t="str">
        <f>VLOOKUP(A56,[1]Sheet1!$A:$D,2,FALSE)</f>
        <v>SIEMENS</v>
      </c>
      <c r="E56" t="str">
        <f>VLOOKUP(A56,[1]Sheet1!$A:$D,3,FALSE)</f>
        <v>MAGNETOM_ESSENZA</v>
      </c>
      <c r="F56">
        <f>VLOOKUP(A56,[1]Sheet1!$A:$D,4,FALSE)</f>
        <v>1.5</v>
      </c>
      <c r="G56">
        <f>VLOOKUP(A56,[2]Sheet1!$A:$D,2,FALSE)</f>
        <v>0</v>
      </c>
      <c r="H56">
        <f>VLOOKUP(A56,[2]Sheet1!$A:$D,3,FALSE)</f>
        <v>0</v>
      </c>
      <c r="I56">
        <f>VLOOKUP(A56,[2]Sheet1!$A:$D,4,FALSE)</f>
        <v>4</v>
      </c>
      <c r="J56" t="str">
        <f>VLOOKUP(A56,[3]Sheet1!$A:$C,2,FALSE)</f>
        <v>AUTO</v>
      </c>
      <c r="K56" t="str">
        <f>VLOOKUP(A56,[3]Sheet1!$A:$C,3,FALSE)</f>
        <v>ALL</v>
      </c>
    </row>
    <row r="57" spans="1:11" x14ac:dyDescent="0.25">
      <c r="A57" s="2" t="s">
        <v>60</v>
      </c>
      <c r="B57">
        <v>76</v>
      </c>
      <c r="C57" t="s">
        <v>7</v>
      </c>
      <c r="D57" t="str">
        <f>VLOOKUP(A57,[1]Sheet1!$A:$D,2,FALSE)</f>
        <v>GE MEDICAL SYSTEMS</v>
      </c>
      <c r="E57" t="str">
        <f>VLOOKUP(A57,[1]Sheet1!$A:$D,3,FALSE)</f>
        <v>DISCOVERY MR450</v>
      </c>
      <c r="F57">
        <f>VLOOKUP(A57,[1]Sheet1!$A:$D,4,FALSE)</f>
        <v>1.5</v>
      </c>
      <c r="G57">
        <f>VLOOKUP(A57,[2]Sheet1!$A:$D,2,FALSE)</f>
        <v>-1</v>
      </c>
      <c r="H57">
        <f>VLOOKUP(A57,[2]Sheet1!$A:$D,3,FALSE)</f>
        <v>-1</v>
      </c>
      <c r="I57">
        <f>VLOOKUP(A57,[2]Sheet1!$A:$D,4,FALSE)</f>
        <v>3</v>
      </c>
      <c r="J57" t="str">
        <f>VLOOKUP(A57,[3]Sheet1!$A:$C,2,FALSE)</f>
        <v>AUTO</v>
      </c>
      <c r="K57" t="str">
        <f>VLOOKUP(A57,[3]Sheet1!$A:$C,3,FALSE)</f>
        <v>ALL</v>
      </c>
    </row>
    <row r="58" spans="1:11" x14ac:dyDescent="0.25">
      <c r="A58" s="2" t="s">
        <v>61</v>
      </c>
      <c r="B58">
        <v>51</v>
      </c>
      <c r="C58" t="s">
        <v>7</v>
      </c>
      <c r="D58" t="str">
        <f>VLOOKUP(A58,[1]Sheet1!$A:$D,2,FALSE)</f>
        <v>SIEMENS</v>
      </c>
      <c r="E58" t="str">
        <f>VLOOKUP(A58,[1]Sheet1!$A:$D,3,FALSE)</f>
        <v>Symphony</v>
      </c>
      <c r="F58">
        <f>VLOOKUP(A58,[1]Sheet1!$A:$D,4,FALSE)</f>
        <v>1.5</v>
      </c>
      <c r="G58">
        <f>VLOOKUP(A58,[2]Sheet1!$A:$D,2,FALSE)</f>
        <v>1</v>
      </c>
      <c r="H58">
        <f>VLOOKUP(A58,[2]Sheet1!$A:$D,3,FALSE)</f>
        <v>1</v>
      </c>
      <c r="I58">
        <f>VLOOKUP(A58,[2]Sheet1!$A:$D,4,FALSE)</f>
        <v>2</v>
      </c>
      <c r="J58" t="str">
        <f>VLOOKUP(A58,[3]Sheet1!$A:$C,2,FALSE)</f>
        <v>OBS2</v>
      </c>
      <c r="K58" t="str">
        <f>VLOOKUP(A58,[3]Sheet1!$A:$C,3,FALSE)</f>
        <v>FLAIR</v>
      </c>
    </row>
    <row r="59" spans="1:11" x14ac:dyDescent="0.25">
      <c r="A59" s="2" t="s">
        <v>62</v>
      </c>
      <c r="B59">
        <v>65</v>
      </c>
      <c r="C59" t="s">
        <v>4</v>
      </c>
      <c r="D59" t="str">
        <f>VLOOKUP(A59,[1]Sheet1!$A:$D,2,FALSE)</f>
        <v>SIEMENS</v>
      </c>
      <c r="E59" t="str">
        <f>VLOOKUP(A59,[1]Sheet1!$A:$D,3,FALSE)</f>
        <v>Skyra</v>
      </c>
      <c r="F59">
        <f>VLOOKUP(A59,[1]Sheet1!$A:$D,4,FALSE)</f>
        <v>3</v>
      </c>
      <c r="G59">
        <f>VLOOKUP(A59,[2]Sheet1!$A:$D,2,FALSE)</f>
        <v>0</v>
      </c>
      <c r="H59">
        <f>VLOOKUP(A59,[2]Sheet1!$A:$D,3,FALSE)</f>
        <v>-1</v>
      </c>
      <c r="I59">
        <f>VLOOKUP(A59,[2]Sheet1!$A:$D,4,FALSE)</f>
        <v>4</v>
      </c>
      <c r="J59" t="str">
        <f>VLOOKUP(A59,[3]Sheet1!$A:$C,2,FALSE)</f>
        <v>OBS1</v>
      </c>
      <c r="K59" t="str">
        <f>VLOOKUP(A59,[3]Sheet1!$A:$C,3,FALSE)</f>
        <v>T2</v>
      </c>
    </row>
    <row r="60" spans="1:11" x14ac:dyDescent="0.25">
      <c r="A60" s="2" t="s">
        <v>63</v>
      </c>
      <c r="B60">
        <v>-1</v>
      </c>
      <c r="C60" t="s">
        <v>4</v>
      </c>
      <c r="D60" t="str">
        <f>VLOOKUP(A60,[1]Sheet1!$A:$D,2,FALSE)</f>
        <v>SIEMENS</v>
      </c>
      <c r="E60" t="str">
        <f>VLOOKUP(A60,[1]Sheet1!$A:$D,3,FALSE)</f>
        <v>Skyra</v>
      </c>
      <c r="F60">
        <f>VLOOKUP(A60,[1]Sheet1!$A:$D,4,FALSE)</f>
        <v>3</v>
      </c>
      <c r="G60">
        <f>VLOOKUP(A60,[2]Sheet1!$A:$D,2,FALSE)</f>
        <v>0</v>
      </c>
      <c r="H60">
        <f>VLOOKUP(A60,[2]Sheet1!$A:$D,3,FALSE)</f>
        <v>-1</v>
      </c>
      <c r="I60">
        <f>VLOOKUP(A60,[2]Sheet1!$A:$D,4,FALSE)</f>
        <v>-1</v>
      </c>
      <c r="J60" t="str">
        <f>VLOOKUP(A60,[3]Sheet1!$A:$C,2,FALSE)</f>
        <v>AUTO</v>
      </c>
      <c r="K60" t="str">
        <f>VLOOKUP(A60,[3]Sheet1!$A:$C,3,FALSE)</f>
        <v>ALL</v>
      </c>
    </row>
    <row r="61" spans="1:11" x14ac:dyDescent="0.25">
      <c r="A61" s="2" t="s">
        <v>64</v>
      </c>
      <c r="B61">
        <v>24</v>
      </c>
      <c r="C61" t="s">
        <v>4</v>
      </c>
      <c r="D61" t="str">
        <f>VLOOKUP(A61,[1]Sheet1!$A:$D,2,FALSE)</f>
        <v>Philips Healthcare</v>
      </c>
      <c r="E61" t="str">
        <f>VLOOKUP(A61,[1]Sheet1!$A:$D,3,FALSE)</f>
        <v>Ingenia</v>
      </c>
      <c r="F61">
        <f>VLOOKUP(A61,[1]Sheet1!$A:$D,4,FALSE)</f>
        <v>1.5</v>
      </c>
      <c r="G61">
        <f>VLOOKUP(A61,[2]Sheet1!$A:$D,2,FALSE)</f>
        <v>-1</v>
      </c>
      <c r="H61">
        <f>VLOOKUP(A61,[2]Sheet1!$A:$D,3,FALSE)</f>
        <v>-1</v>
      </c>
      <c r="I61">
        <f>VLOOKUP(A61,[2]Sheet1!$A:$D,4,FALSE)</f>
        <v>4</v>
      </c>
      <c r="J61" t="str">
        <f>VLOOKUP(A61,[3]Sheet1!$A:$C,2,FALSE)</f>
        <v>AUTO</v>
      </c>
      <c r="K61" t="str">
        <f>VLOOKUP(A61,[3]Sheet1!$A:$C,3,FALSE)</f>
        <v>ALL</v>
      </c>
    </row>
    <row r="62" spans="1:11" x14ac:dyDescent="0.25">
      <c r="A62" s="2" t="s">
        <v>65</v>
      </c>
      <c r="B62">
        <v>57</v>
      </c>
      <c r="C62" t="s">
        <v>7</v>
      </c>
      <c r="D62" t="str">
        <f>VLOOKUP(A62,[1]Sheet1!$A:$D,2,FALSE)</f>
        <v>Philips Medical Systems</v>
      </c>
      <c r="E62" t="str">
        <f>VLOOKUP(A62,[1]Sheet1!$A:$D,3,FALSE)</f>
        <v>Intera</v>
      </c>
      <c r="F62">
        <f>VLOOKUP(A62,[1]Sheet1!$A:$D,4,FALSE)</f>
        <v>1.5</v>
      </c>
      <c r="G62">
        <f>VLOOKUP(A62,[2]Sheet1!$A:$D,2,FALSE)</f>
        <v>-1</v>
      </c>
      <c r="H62">
        <f>VLOOKUP(A62,[2]Sheet1!$A:$D,3,FALSE)</f>
        <v>-1</v>
      </c>
      <c r="I62">
        <f>VLOOKUP(A62,[2]Sheet1!$A:$D,4,FALSE)</f>
        <v>4</v>
      </c>
      <c r="J62" t="str">
        <f>VLOOKUP(A62,[3]Sheet1!$A:$C,2,FALSE)</f>
        <v>AUTO</v>
      </c>
      <c r="K62" t="str">
        <f>VLOOKUP(A62,[3]Sheet1!$A:$C,3,FALSE)</f>
        <v>ALL</v>
      </c>
    </row>
    <row r="63" spans="1:11" x14ac:dyDescent="0.25">
      <c r="A63" s="2" t="s">
        <v>66</v>
      </c>
      <c r="B63">
        <v>71</v>
      </c>
      <c r="C63" t="s">
        <v>7</v>
      </c>
      <c r="D63" t="str">
        <f>VLOOKUP(A63,[1]Sheet1!$A:$D,2,FALSE)</f>
        <v>SIEMENS</v>
      </c>
      <c r="E63" t="str">
        <f>VLOOKUP(A63,[1]Sheet1!$A:$D,3,FALSE)</f>
        <v>MAGNETOM_ESSENZA</v>
      </c>
      <c r="F63">
        <f>VLOOKUP(A63,[1]Sheet1!$A:$D,4,FALSE)</f>
        <v>1.5</v>
      </c>
      <c r="G63">
        <f>VLOOKUP(A63,[2]Sheet1!$A:$D,2,FALSE)</f>
        <v>1</v>
      </c>
      <c r="H63">
        <f>VLOOKUP(A63,[2]Sheet1!$A:$D,3,FALSE)</f>
        <v>-1</v>
      </c>
      <c r="I63">
        <f>VLOOKUP(A63,[2]Sheet1!$A:$D,4,FALSE)</f>
        <v>4</v>
      </c>
      <c r="J63" t="str">
        <f>VLOOKUP(A63,[3]Sheet1!$A:$C,2,FALSE)</f>
        <v>OBS1</v>
      </c>
      <c r="K63" t="str">
        <f>VLOOKUP(A63,[3]Sheet1!$A:$C,3,FALSE)</f>
        <v>T2</v>
      </c>
    </row>
    <row r="64" spans="1:11" x14ac:dyDescent="0.25">
      <c r="A64" s="2" t="s">
        <v>67</v>
      </c>
      <c r="B64">
        <v>44</v>
      </c>
      <c r="C64" t="s">
        <v>4</v>
      </c>
      <c r="D64" t="str">
        <f>VLOOKUP(A64,[1]Sheet1!$A:$D,2,FALSE)</f>
        <v>SIEMENS</v>
      </c>
      <c r="E64" t="str">
        <f>VLOOKUP(A64,[1]Sheet1!$A:$D,3,FALSE)</f>
        <v>Aera</v>
      </c>
      <c r="F64">
        <f>VLOOKUP(A64,[1]Sheet1!$A:$D,4,FALSE)</f>
        <v>1.5</v>
      </c>
      <c r="G64">
        <f>VLOOKUP(A64,[2]Sheet1!$A:$D,2,FALSE)</f>
        <v>-1</v>
      </c>
      <c r="H64">
        <f>VLOOKUP(A64,[2]Sheet1!$A:$D,3,FALSE)</f>
        <v>-1</v>
      </c>
      <c r="I64">
        <f>VLOOKUP(A64,[2]Sheet1!$A:$D,4,FALSE)</f>
        <v>4</v>
      </c>
      <c r="J64" t="str">
        <f>VLOOKUP(A64,[3]Sheet1!$A:$C,2,FALSE)</f>
        <v>AUTO</v>
      </c>
      <c r="K64" t="str">
        <f>VLOOKUP(A64,[3]Sheet1!$A:$C,3,FALSE)</f>
        <v>ALL</v>
      </c>
    </row>
    <row r="65" spans="1:11" x14ac:dyDescent="0.25">
      <c r="A65" s="2" t="s">
        <v>68</v>
      </c>
      <c r="B65">
        <v>58</v>
      </c>
      <c r="C65" t="s">
        <v>7</v>
      </c>
      <c r="D65" t="str">
        <f>VLOOKUP(A65,[1]Sheet1!$A:$D,2,FALSE)</f>
        <v>GE MEDICAL SYSTEMS</v>
      </c>
      <c r="E65" t="str">
        <f>VLOOKUP(A65,[1]Sheet1!$A:$D,3,FALSE)</f>
        <v>DISCOVERY MR450</v>
      </c>
      <c r="F65">
        <f>VLOOKUP(A65,[1]Sheet1!$A:$D,4,FALSE)</f>
        <v>1.5</v>
      </c>
      <c r="G65">
        <f>VLOOKUP(A65,[2]Sheet1!$A:$D,2,FALSE)</f>
        <v>0</v>
      </c>
      <c r="H65">
        <f>VLOOKUP(A65,[2]Sheet1!$A:$D,3,FALSE)</f>
        <v>-1</v>
      </c>
      <c r="I65">
        <f>VLOOKUP(A65,[2]Sheet1!$A:$D,4,FALSE)</f>
        <v>4</v>
      </c>
      <c r="J65" t="str">
        <f>VLOOKUP(A65,[3]Sheet1!$A:$C,2,FALSE)</f>
        <v>OBS1</v>
      </c>
      <c r="K65" t="str">
        <f>VLOOKUP(A65,[3]Sheet1!$A:$C,3,FALSE)</f>
        <v>T2</v>
      </c>
    </row>
    <row r="66" spans="1:11" x14ac:dyDescent="0.25">
      <c r="A66" s="2" t="s">
        <v>69</v>
      </c>
      <c r="B66">
        <v>65</v>
      </c>
      <c r="C66" t="s">
        <v>4</v>
      </c>
      <c r="D66" t="str">
        <f>VLOOKUP(A66,[1]Sheet1!$A:$D,2,FALSE)</f>
        <v>GE MEDICAL SYSTEMS</v>
      </c>
      <c r="E66" t="str">
        <f>VLOOKUP(A66,[1]Sheet1!$A:$D,3,FALSE)</f>
        <v>Signa HDxt</v>
      </c>
      <c r="F66">
        <f>VLOOKUP(A66,[1]Sheet1!$A:$D,4,FALSE)</f>
        <v>1.5</v>
      </c>
      <c r="G66">
        <f>VLOOKUP(A66,[2]Sheet1!$A:$D,2,FALSE)</f>
        <v>-1</v>
      </c>
      <c r="H66">
        <f>VLOOKUP(A66,[2]Sheet1!$A:$D,3,FALSE)</f>
        <v>-1</v>
      </c>
      <c r="I66">
        <f>VLOOKUP(A66,[2]Sheet1!$A:$D,4,FALSE)</f>
        <v>4</v>
      </c>
      <c r="J66" t="str">
        <f>VLOOKUP(A66,[3]Sheet1!$A:$C,2,FALSE)</f>
        <v>AUTO</v>
      </c>
      <c r="K66" t="str">
        <f>VLOOKUP(A66,[3]Sheet1!$A:$C,3,FALSE)</f>
        <v>ALL</v>
      </c>
    </row>
    <row r="67" spans="1:11" x14ac:dyDescent="0.25">
      <c r="A67" s="2" t="s">
        <v>70</v>
      </c>
      <c r="B67">
        <v>34</v>
      </c>
      <c r="C67" t="s">
        <v>4</v>
      </c>
      <c r="D67" t="str">
        <f>VLOOKUP(A67,[1]Sheet1!$A:$D,2,FALSE)</f>
        <v>SIEMENS</v>
      </c>
      <c r="E67" t="str">
        <f>VLOOKUP(A67,[1]Sheet1!$A:$D,3,FALSE)</f>
        <v>MAGNETOM EXPERT</v>
      </c>
      <c r="F67">
        <f>VLOOKUP(A67,[1]Sheet1!$A:$D,4,FALSE)</f>
        <v>1</v>
      </c>
      <c r="G67">
        <f>VLOOKUP(A67,[2]Sheet1!$A:$D,2,FALSE)</f>
        <v>1</v>
      </c>
      <c r="H67">
        <f>VLOOKUP(A67,[2]Sheet1!$A:$D,3,FALSE)</f>
        <v>1</v>
      </c>
      <c r="I67">
        <f>VLOOKUP(A67,[2]Sheet1!$A:$D,4,FALSE)</f>
        <v>3</v>
      </c>
      <c r="J67" t="str">
        <f>VLOOKUP(A67,[3]Sheet1!$A:$C,2,FALSE)</f>
        <v>AUTO</v>
      </c>
      <c r="K67" t="str">
        <f>VLOOKUP(A67,[3]Sheet1!$A:$C,3,FALSE)</f>
        <v>ALL</v>
      </c>
    </row>
    <row r="68" spans="1:11" x14ac:dyDescent="0.25">
      <c r="A68" s="2" t="s">
        <v>71</v>
      </c>
      <c r="B68">
        <v>-1</v>
      </c>
      <c r="C68" t="s">
        <v>4</v>
      </c>
      <c r="D68" t="str">
        <f>VLOOKUP(A68,[1]Sheet1!$A:$D,2,FALSE)</f>
        <v>Philips Medical Systems</v>
      </c>
      <c r="E68" t="str">
        <f>VLOOKUP(A68,[1]Sheet1!$A:$D,3,FALSE)</f>
        <v>Achieva</v>
      </c>
      <c r="F68">
        <f>VLOOKUP(A68,[1]Sheet1!$A:$D,4,FALSE)</f>
        <v>1.5</v>
      </c>
      <c r="G68">
        <f>VLOOKUP(A68,[2]Sheet1!$A:$D,2,FALSE)</f>
        <v>0</v>
      </c>
      <c r="H68">
        <f>VLOOKUP(A68,[2]Sheet1!$A:$D,3,FALSE)</f>
        <v>-1</v>
      </c>
      <c r="I68">
        <f>VLOOKUP(A68,[2]Sheet1!$A:$D,4,FALSE)</f>
        <v>-1</v>
      </c>
      <c r="J68" t="str">
        <f>VLOOKUP(A68,[3]Sheet1!$A:$C,2,FALSE)</f>
        <v>OBS1</v>
      </c>
      <c r="K68" t="str">
        <f>VLOOKUP(A68,[3]Sheet1!$A:$C,3,FALSE)</f>
        <v>T2</v>
      </c>
    </row>
    <row r="69" spans="1:11" x14ac:dyDescent="0.25">
      <c r="A69" s="2" t="s">
        <v>72</v>
      </c>
      <c r="B69">
        <v>28</v>
      </c>
      <c r="C69" t="s">
        <v>7</v>
      </c>
      <c r="D69" t="str">
        <f>VLOOKUP(A69,[1]Sheet1!$A:$D,2,FALSE)</f>
        <v>SIEMENS</v>
      </c>
      <c r="E69" t="str">
        <f>VLOOKUP(A69,[1]Sheet1!$A:$D,3,FALSE)</f>
        <v>Avanto</v>
      </c>
      <c r="F69">
        <f>VLOOKUP(A69,[1]Sheet1!$A:$D,4,FALSE)</f>
        <v>1.5</v>
      </c>
      <c r="G69">
        <f>VLOOKUP(A69,[2]Sheet1!$A:$D,2,FALSE)</f>
        <v>1</v>
      </c>
      <c r="H69">
        <f>VLOOKUP(A69,[2]Sheet1!$A:$D,3,FALSE)</f>
        <v>1</v>
      </c>
      <c r="I69">
        <f>VLOOKUP(A69,[2]Sheet1!$A:$D,4,FALSE)</f>
        <v>2</v>
      </c>
      <c r="J69" t="str">
        <f>VLOOKUP(A69,[3]Sheet1!$A:$C,2,FALSE)</f>
        <v>AUTO</v>
      </c>
      <c r="K69" t="str">
        <f>VLOOKUP(A69,[3]Sheet1!$A:$C,3,FALSE)</f>
        <v>ALL</v>
      </c>
    </row>
    <row r="70" spans="1:11" x14ac:dyDescent="0.25">
      <c r="A70" s="2" t="s">
        <v>73</v>
      </c>
      <c r="B70">
        <v>75</v>
      </c>
      <c r="C70" t="s">
        <v>7</v>
      </c>
      <c r="D70" t="str">
        <f>VLOOKUP(A70,[1]Sheet1!$A:$D,2,FALSE)</f>
        <v>Philips Medical Systems</v>
      </c>
      <c r="E70" t="str">
        <f>VLOOKUP(A70,[1]Sheet1!$A:$D,3,FALSE)</f>
        <v>Intera</v>
      </c>
      <c r="F70">
        <f>VLOOKUP(A70,[1]Sheet1!$A:$D,4,FALSE)</f>
        <v>1.5</v>
      </c>
      <c r="G70">
        <f>VLOOKUP(A70,[2]Sheet1!$A:$D,2,FALSE)</f>
        <v>-1</v>
      </c>
      <c r="H70">
        <f>VLOOKUP(A70,[2]Sheet1!$A:$D,3,FALSE)</f>
        <v>-1</v>
      </c>
      <c r="I70">
        <f>VLOOKUP(A70,[2]Sheet1!$A:$D,4,FALSE)</f>
        <v>4</v>
      </c>
      <c r="J70" t="str">
        <f>VLOOKUP(A70,[3]Sheet1!$A:$C,2,FALSE)</f>
        <v>AUTO</v>
      </c>
      <c r="K70" t="str">
        <f>VLOOKUP(A70,[3]Sheet1!$A:$C,3,FALSE)</f>
        <v>ALL</v>
      </c>
    </row>
    <row r="71" spans="1:11" x14ac:dyDescent="0.25">
      <c r="A71" s="2" t="s">
        <v>74</v>
      </c>
      <c r="B71">
        <v>63</v>
      </c>
      <c r="C71" t="s">
        <v>4</v>
      </c>
      <c r="D71" t="str">
        <f>VLOOKUP(A71,[1]Sheet1!$A:$D,2,FALSE)</f>
        <v>GE MEDICAL SYSTEMS</v>
      </c>
      <c r="E71" t="str">
        <f>VLOOKUP(A71,[1]Sheet1!$A:$D,3,FALSE)</f>
        <v>DISCOVERY MR750</v>
      </c>
      <c r="F71">
        <f>VLOOKUP(A71,[1]Sheet1!$A:$D,4,FALSE)</f>
        <v>3</v>
      </c>
      <c r="G71">
        <f>VLOOKUP(A71,[2]Sheet1!$A:$D,2,FALSE)</f>
        <v>-1</v>
      </c>
      <c r="H71">
        <f>VLOOKUP(A71,[2]Sheet1!$A:$D,3,FALSE)</f>
        <v>-1</v>
      </c>
      <c r="I71">
        <f>VLOOKUP(A71,[2]Sheet1!$A:$D,4,FALSE)</f>
        <v>4</v>
      </c>
      <c r="J71" t="str">
        <f>VLOOKUP(A71,[3]Sheet1!$A:$C,2,FALSE)</f>
        <v>AUTO</v>
      </c>
      <c r="K71" t="str">
        <f>VLOOKUP(A71,[3]Sheet1!$A:$C,3,FALSE)</f>
        <v>ALL</v>
      </c>
    </row>
    <row r="72" spans="1:11" x14ac:dyDescent="0.25">
      <c r="A72" s="2" t="s">
        <v>75</v>
      </c>
      <c r="B72">
        <v>41</v>
      </c>
      <c r="C72" t="s">
        <v>4</v>
      </c>
      <c r="D72" t="str">
        <f>VLOOKUP(A72,[1]Sheet1!$A:$D,2,FALSE)</f>
        <v>Philips Medical Systems</v>
      </c>
      <c r="E72" t="str">
        <f>VLOOKUP(A72,[1]Sheet1!$A:$D,3,FALSE)</f>
        <v>Intera</v>
      </c>
      <c r="F72">
        <f>VLOOKUP(A72,[1]Sheet1!$A:$D,4,FALSE)</f>
        <v>1</v>
      </c>
      <c r="G72">
        <f>VLOOKUP(A72,[2]Sheet1!$A:$D,2,FALSE)</f>
        <v>-1</v>
      </c>
      <c r="H72">
        <f>VLOOKUP(A72,[2]Sheet1!$A:$D,3,FALSE)</f>
        <v>-1</v>
      </c>
      <c r="I72">
        <f>VLOOKUP(A72,[2]Sheet1!$A:$D,4,FALSE)</f>
        <v>3</v>
      </c>
      <c r="J72" t="str">
        <f>VLOOKUP(A72,[3]Sheet1!$A:$C,2,FALSE)</f>
        <v>AUTO</v>
      </c>
      <c r="K72" t="str">
        <f>VLOOKUP(A72,[3]Sheet1!$A:$C,3,FALSE)</f>
        <v>ALL</v>
      </c>
    </row>
    <row r="73" spans="1:11" x14ac:dyDescent="0.25">
      <c r="A73" s="2" t="s">
        <v>76</v>
      </c>
      <c r="B73">
        <v>27</v>
      </c>
      <c r="C73" t="s">
        <v>4</v>
      </c>
      <c r="D73" t="str">
        <f>VLOOKUP(A73,[1]Sheet1!$A:$D,2,FALSE)</f>
        <v>GE MEDICAL SYSTEMS</v>
      </c>
      <c r="E73" t="str">
        <f>VLOOKUP(A73,[1]Sheet1!$A:$D,3,FALSE)</f>
        <v>DISCOVERY MR450</v>
      </c>
      <c r="F73">
        <f>VLOOKUP(A73,[1]Sheet1!$A:$D,4,FALSE)</f>
        <v>1.5</v>
      </c>
      <c r="G73">
        <f>VLOOKUP(A73,[2]Sheet1!$A:$D,2,FALSE)</f>
        <v>1</v>
      </c>
      <c r="H73">
        <f>VLOOKUP(A73,[2]Sheet1!$A:$D,3,FALSE)</f>
        <v>0</v>
      </c>
      <c r="I73">
        <f>VLOOKUP(A73,[2]Sheet1!$A:$D,4,FALSE)</f>
        <v>3</v>
      </c>
      <c r="J73" t="str">
        <f>VLOOKUP(A73,[3]Sheet1!$A:$C,2,FALSE)</f>
        <v>OBS1</v>
      </c>
      <c r="K73" t="str">
        <f>VLOOKUP(A73,[3]Sheet1!$A:$C,3,FALSE)</f>
        <v>T2</v>
      </c>
    </row>
    <row r="74" spans="1:11" x14ac:dyDescent="0.25">
      <c r="A74" s="2" t="s">
        <v>77</v>
      </c>
      <c r="B74">
        <v>65</v>
      </c>
      <c r="C74" t="s">
        <v>4</v>
      </c>
      <c r="D74" t="str">
        <f>VLOOKUP(A74,[1]Sheet1!$A:$D,2,FALSE)</f>
        <v>SIEMENS</v>
      </c>
      <c r="E74" t="str">
        <f>VLOOKUP(A74,[1]Sheet1!$A:$D,3,FALSE)</f>
        <v>Avanto</v>
      </c>
      <c r="F74">
        <f>VLOOKUP(A74,[1]Sheet1!$A:$D,4,FALSE)</f>
        <v>1.5</v>
      </c>
      <c r="G74">
        <f>VLOOKUP(A74,[2]Sheet1!$A:$D,2,FALSE)</f>
        <v>0</v>
      </c>
      <c r="H74">
        <f>VLOOKUP(A74,[2]Sheet1!$A:$D,3,FALSE)</f>
        <v>0</v>
      </c>
      <c r="I74">
        <f>VLOOKUP(A74,[2]Sheet1!$A:$D,4,FALSE)</f>
        <v>4</v>
      </c>
      <c r="J74" t="str">
        <f>VLOOKUP(A74,[3]Sheet1!$A:$C,2,FALSE)</f>
        <v>OBS1</v>
      </c>
      <c r="K74" t="str">
        <f>VLOOKUP(A74,[3]Sheet1!$A:$C,3,FALSE)</f>
        <v>T2</v>
      </c>
    </row>
    <row r="75" spans="1:11" x14ac:dyDescent="0.25">
      <c r="A75" s="2" t="s">
        <v>78</v>
      </c>
      <c r="B75">
        <v>38</v>
      </c>
      <c r="C75" t="s">
        <v>4</v>
      </c>
      <c r="D75" t="str">
        <f>VLOOKUP(A75,[1]Sheet1!$A:$D,2,FALSE)</f>
        <v>Philips Medical Systems</v>
      </c>
      <c r="E75" t="str">
        <f>VLOOKUP(A75,[1]Sheet1!$A:$D,3,FALSE)</f>
        <v>Intera</v>
      </c>
      <c r="F75">
        <f>VLOOKUP(A75,[1]Sheet1!$A:$D,4,FALSE)</f>
        <v>0.5</v>
      </c>
      <c r="G75">
        <f>VLOOKUP(A75,[2]Sheet1!$A:$D,2,FALSE)</f>
        <v>1</v>
      </c>
      <c r="H75">
        <f>VLOOKUP(A75,[2]Sheet1!$A:$D,3,FALSE)</f>
        <v>0</v>
      </c>
      <c r="I75">
        <f>VLOOKUP(A75,[2]Sheet1!$A:$D,4,FALSE)</f>
        <v>2</v>
      </c>
      <c r="J75" t="str">
        <f>VLOOKUP(A75,[3]Sheet1!$A:$C,2,FALSE)</f>
        <v>OBS2</v>
      </c>
      <c r="K75" t="str">
        <f>VLOOKUP(A75,[3]Sheet1!$A:$C,3,FALSE)</f>
        <v>FLAIR</v>
      </c>
    </row>
    <row r="76" spans="1:11" x14ac:dyDescent="0.25">
      <c r="A76" s="2" t="s">
        <v>79</v>
      </c>
      <c r="B76">
        <v>73</v>
      </c>
      <c r="C76" t="s">
        <v>4</v>
      </c>
      <c r="D76" t="str">
        <f>VLOOKUP(A76,[1]Sheet1!$A:$D,2,FALSE)</f>
        <v>Philips Medical Systems</v>
      </c>
      <c r="E76" t="str">
        <f>VLOOKUP(A76,[1]Sheet1!$A:$D,3,FALSE)</f>
        <v>Achieva dStream</v>
      </c>
      <c r="F76">
        <f>VLOOKUP(A76,[1]Sheet1!$A:$D,4,FALSE)</f>
        <v>1.5</v>
      </c>
      <c r="G76">
        <f>VLOOKUP(A76,[2]Sheet1!$A:$D,2,FALSE)</f>
        <v>0</v>
      </c>
      <c r="H76">
        <f>VLOOKUP(A76,[2]Sheet1!$A:$D,3,FALSE)</f>
        <v>0</v>
      </c>
      <c r="I76">
        <f>VLOOKUP(A76,[2]Sheet1!$A:$D,4,FALSE)</f>
        <v>4</v>
      </c>
      <c r="J76" t="str">
        <f>VLOOKUP(A76,[3]Sheet1!$A:$C,2,FALSE)</f>
        <v>AUTO</v>
      </c>
      <c r="K76" t="str">
        <f>VLOOKUP(A76,[3]Sheet1!$A:$C,3,FALSE)</f>
        <v>ALL</v>
      </c>
    </row>
    <row r="77" spans="1:11" x14ac:dyDescent="0.25">
      <c r="A77" s="2" t="s">
        <v>80</v>
      </c>
      <c r="B77">
        <v>54</v>
      </c>
      <c r="C77" t="s">
        <v>4</v>
      </c>
      <c r="D77" t="str">
        <f>VLOOKUP(A77,[1]Sheet1!$A:$D,2,FALSE)</f>
        <v>SIEMENS</v>
      </c>
      <c r="E77" t="str">
        <f>VLOOKUP(A77,[1]Sheet1!$A:$D,3,FALSE)</f>
        <v>Sonata</v>
      </c>
      <c r="F77">
        <f>VLOOKUP(A77,[1]Sheet1!$A:$D,4,FALSE)</f>
        <v>1.5</v>
      </c>
      <c r="G77">
        <f>VLOOKUP(A77,[2]Sheet1!$A:$D,2,FALSE)</f>
        <v>-1</v>
      </c>
      <c r="H77">
        <f>VLOOKUP(A77,[2]Sheet1!$A:$D,3,FALSE)</f>
        <v>-1</v>
      </c>
      <c r="I77">
        <f>VLOOKUP(A77,[2]Sheet1!$A:$D,4,FALSE)</f>
        <v>3</v>
      </c>
      <c r="J77" t="str">
        <f>VLOOKUP(A77,[3]Sheet1!$A:$C,2,FALSE)</f>
        <v>AUTO</v>
      </c>
      <c r="K77" t="str">
        <f>VLOOKUP(A77,[3]Sheet1!$A:$C,3,FALSE)</f>
        <v>ALL</v>
      </c>
    </row>
    <row r="78" spans="1:11" x14ac:dyDescent="0.25">
      <c r="A78" s="2" t="s">
        <v>81</v>
      </c>
      <c r="B78">
        <v>73</v>
      </c>
      <c r="C78" t="s">
        <v>4</v>
      </c>
      <c r="D78" t="str">
        <f>VLOOKUP(A78,[1]Sheet1!$A:$D,2,FALSE)</f>
        <v>SIEMENS</v>
      </c>
      <c r="E78" t="str">
        <f>VLOOKUP(A78,[1]Sheet1!$A:$D,3,FALSE)</f>
        <v>Symphony</v>
      </c>
      <c r="F78">
        <f>VLOOKUP(A78,[1]Sheet1!$A:$D,4,FALSE)</f>
        <v>1.5</v>
      </c>
      <c r="G78">
        <f>VLOOKUP(A78,[2]Sheet1!$A:$D,2,FALSE)</f>
        <v>-1</v>
      </c>
      <c r="H78">
        <f>VLOOKUP(A78,[2]Sheet1!$A:$D,3,FALSE)</f>
        <v>-1</v>
      </c>
      <c r="I78">
        <f>VLOOKUP(A78,[2]Sheet1!$A:$D,4,FALSE)</f>
        <v>4</v>
      </c>
      <c r="J78" t="str">
        <f>VLOOKUP(A78,[3]Sheet1!$A:$C,2,FALSE)</f>
        <v>AUTO</v>
      </c>
      <c r="K78" t="str">
        <f>VLOOKUP(A78,[3]Sheet1!$A:$C,3,FALSE)</f>
        <v>ALL</v>
      </c>
    </row>
    <row r="79" spans="1:11" x14ac:dyDescent="0.25">
      <c r="A79" s="2" t="s">
        <v>82</v>
      </c>
      <c r="B79">
        <v>-1</v>
      </c>
      <c r="C79" t="s">
        <v>4</v>
      </c>
      <c r="D79" t="str">
        <f>VLOOKUP(A79,[1]Sheet1!$A:$D,2,FALSE)</f>
        <v>Philips Medical Systems</v>
      </c>
      <c r="E79" t="str">
        <f>VLOOKUP(A79,[1]Sheet1!$A:$D,3,FALSE)</f>
        <v>Intera</v>
      </c>
      <c r="F79">
        <f>VLOOKUP(A79,[1]Sheet1!$A:$D,4,FALSE)</f>
        <v>1</v>
      </c>
      <c r="G79">
        <f>VLOOKUP(A79,[2]Sheet1!$A:$D,2,FALSE)</f>
        <v>1</v>
      </c>
      <c r="H79">
        <f>VLOOKUP(A79,[2]Sheet1!$A:$D,3,FALSE)</f>
        <v>1</v>
      </c>
      <c r="I79">
        <f>VLOOKUP(A79,[2]Sheet1!$A:$D,4,FALSE)</f>
        <v>2</v>
      </c>
      <c r="J79" t="str">
        <f>VLOOKUP(A79,[3]Sheet1!$A:$C,2,FALSE)</f>
        <v>AUTO</v>
      </c>
      <c r="K79" t="str">
        <f>VLOOKUP(A79,[3]Sheet1!$A:$C,3,FALSE)</f>
        <v>ALL</v>
      </c>
    </row>
    <row r="80" spans="1:11" x14ac:dyDescent="0.25">
      <c r="A80" s="2" t="s">
        <v>83</v>
      </c>
      <c r="B80">
        <v>29</v>
      </c>
      <c r="C80" t="s">
        <v>7</v>
      </c>
      <c r="D80" t="str">
        <f>VLOOKUP(A80,[1]Sheet1!$A:$D,2,FALSE)</f>
        <v>Philips Medical Systems</v>
      </c>
      <c r="E80" t="str">
        <f>VLOOKUP(A80,[1]Sheet1!$A:$D,3,FALSE)</f>
        <v>Intera</v>
      </c>
      <c r="F80">
        <f>VLOOKUP(A80,[1]Sheet1!$A:$D,4,FALSE)</f>
        <v>1</v>
      </c>
      <c r="G80">
        <f>VLOOKUP(A80,[2]Sheet1!$A:$D,2,FALSE)</f>
        <v>-1</v>
      </c>
      <c r="H80">
        <f>VLOOKUP(A80,[2]Sheet1!$A:$D,3,FALSE)</f>
        <v>-1</v>
      </c>
      <c r="I80">
        <f>VLOOKUP(A80,[2]Sheet1!$A:$D,4,FALSE)</f>
        <v>3</v>
      </c>
      <c r="J80" t="str">
        <f>VLOOKUP(A80,[3]Sheet1!$A:$C,2,FALSE)</f>
        <v>AUTO</v>
      </c>
      <c r="K80" t="str">
        <f>VLOOKUP(A80,[3]Sheet1!$A:$C,3,FALSE)</f>
        <v>ALL</v>
      </c>
    </row>
    <row r="81" spans="1:11" x14ac:dyDescent="0.25">
      <c r="A81" s="2" t="s">
        <v>84</v>
      </c>
      <c r="B81">
        <v>47</v>
      </c>
      <c r="C81" t="s">
        <v>7</v>
      </c>
      <c r="D81" t="str">
        <f>VLOOKUP(A81,[1]Sheet1!$A:$D,2,FALSE)</f>
        <v>GE MEDICAL SYSTEMS</v>
      </c>
      <c r="E81" t="str">
        <f>VLOOKUP(A81,[1]Sheet1!$A:$D,3,FALSE)</f>
        <v>DISCOVERY MR450</v>
      </c>
      <c r="F81">
        <f>VLOOKUP(A81,[1]Sheet1!$A:$D,4,FALSE)</f>
        <v>1.5</v>
      </c>
      <c r="G81">
        <f>VLOOKUP(A81,[2]Sheet1!$A:$D,2,FALSE)</f>
        <v>0</v>
      </c>
      <c r="H81">
        <f>VLOOKUP(A81,[2]Sheet1!$A:$D,3,FALSE)</f>
        <v>0</v>
      </c>
      <c r="I81">
        <f>VLOOKUP(A81,[2]Sheet1!$A:$D,4,FALSE)</f>
        <v>4</v>
      </c>
      <c r="J81" t="str">
        <f>VLOOKUP(A81,[3]Sheet1!$A:$C,2,FALSE)</f>
        <v>OBS1</v>
      </c>
      <c r="K81" t="str">
        <f>VLOOKUP(A81,[3]Sheet1!$A:$C,3,FALSE)</f>
        <v>T2</v>
      </c>
    </row>
    <row r="82" spans="1:11" x14ac:dyDescent="0.25">
      <c r="A82" s="2" t="s">
        <v>85</v>
      </c>
      <c r="B82">
        <v>66</v>
      </c>
      <c r="C82" t="s">
        <v>4</v>
      </c>
      <c r="D82" t="str">
        <f>VLOOKUP(A82,[1]Sheet1!$A:$D,2,FALSE)</f>
        <v>SIEMENS</v>
      </c>
      <c r="E82" t="str">
        <f>VLOOKUP(A82,[1]Sheet1!$A:$D,3,FALSE)</f>
        <v>Symphony</v>
      </c>
      <c r="F82">
        <f>VLOOKUP(A82,[1]Sheet1!$A:$D,4,FALSE)</f>
        <v>1.5</v>
      </c>
      <c r="G82">
        <f>VLOOKUP(A82,[2]Sheet1!$A:$D,2,FALSE)</f>
        <v>0</v>
      </c>
      <c r="H82">
        <f>VLOOKUP(A82,[2]Sheet1!$A:$D,3,FALSE)</f>
        <v>-1</v>
      </c>
      <c r="I82">
        <f>VLOOKUP(A82,[2]Sheet1!$A:$D,4,FALSE)</f>
        <v>4</v>
      </c>
      <c r="J82" t="str">
        <f>VLOOKUP(A82,[3]Sheet1!$A:$C,2,FALSE)</f>
        <v>OBS1</v>
      </c>
      <c r="K82" t="str">
        <f>VLOOKUP(A82,[3]Sheet1!$A:$C,3,FALSE)</f>
        <v>T2</v>
      </c>
    </row>
    <row r="83" spans="1:11" x14ac:dyDescent="0.25">
      <c r="A83" s="2" t="s">
        <v>86</v>
      </c>
      <c r="B83">
        <v>68</v>
      </c>
      <c r="C83" t="s">
        <v>4</v>
      </c>
      <c r="D83" t="str">
        <f>VLOOKUP(A83,[1]Sheet1!$A:$D,2,FALSE)</f>
        <v>SIEMENS</v>
      </c>
      <c r="E83" t="str">
        <f>VLOOKUP(A83,[1]Sheet1!$A:$D,3,FALSE)</f>
        <v>Avanto</v>
      </c>
      <c r="F83">
        <f>VLOOKUP(A83,[1]Sheet1!$A:$D,4,FALSE)</f>
        <v>1.5</v>
      </c>
      <c r="G83">
        <f>VLOOKUP(A83,[2]Sheet1!$A:$D,2,FALSE)</f>
        <v>-1</v>
      </c>
      <c r="H83">
        <f>VLOOKUP(A83,[2]Sheet1!$A:$D,3,FALSE)</f>
        <v>-1</v>
      </c>
      <c r="I83">
        <f>VLOOKUP(A83,[2]Sheet1!$A:$D,4,FALSE)</f>
        <v>4</v>
      </c>
      <c r="J83" t="str">
        <f>VLOOKUP(A83,[3]Sheet1!$A:$C,2,FALSE)</f>
        <v>OBS1</v>
      </c>
      <c r="K83" t="str">
        <f>VLOOKUP(A83,[3]Sheet1!$A:$C,3,FALSE)</f>
        <v>T2</v>
      </c>
    </row>
    <row r="84" spans="1:11" x14ac:dyDescent="0.25">
      <c r="A84" s="2" t="s">
        <v>87</v>
      </c>
      <c r="B84">
        <v>73</v>
      </c>
      <c r="C84" t="s">
        <v>4</v>
      </c>
      <c r="D84" t="str">
        <f>VLOOKUP(A84,[1]Sheet1!$A:$D,2,FALSE)</f>
        <v>SIEMENS</v>
      </c>
      <c r="E84" t="str">
        <f>VLOOKUP(A84,[1]Sheet1!$A:$D,3,FALSE)</f>
        <v>Aera</v>
      </c>
      <c r="F84">
        <f>VLOOKUP(A84,[1]Sheet1!$A:$D,4,FALSE)</f>
        <v>1.5</v>
      </c>
      <c r="G84">
        <f>VLOOKUP(A84,[2]Sheet1!$A:$D,2,FALSE)</f>
        <v>0</v>
      </c>
      <c r="H84">
        <f>VLOOKUP(A84,[2]Sheet1!$A:$D,3,FALSE)</f>
        <v>-1</v>
      </c>
      <c r="I84">
        <f>VLOOKUP(A84,[2]Sheet1!$A:$D,4,FALSE)</f>
        <v>4</v>
      </c>
      <c r="J84" t="str">
        <f>VLOOKUP(A84,[3]Sheet1!$A:$C,2,FALSE)</f>
        <v>OBS1</v>
      </c>
      <c r="K84" t="str">
        <f>VLOOKUP(A84,[3]Sheet1!$A:$C,3,FALSE)</f>
        <v>T2</v>
      </c>
    </row>
    <row r="85" spans="1:11" x14ac:dyDescent="0.25">
      <c r="A85" s="2" t="s">
        <v>88</v>
      </c>
      <c r="B85">
        <v>-1</v>
      </c>
      <c r="C85" t="s">
        <v>4</v>
      </c>
      <c r="D85" t="str">
        <f>VLOOKUP(A85,[1]Sheet1!$A:$D,2,FALSE)</f>
        <v>SIEMENS</v>
      </c>
      <c r="E85" t="str">
        <f>VLOOKUP(A85,[1]Sheet1!$A:$D,3,FALSE)</f>
        <v>Skyra</v>
      </c>
      <c r="F85">
        <f>VLOOKUP(A85,[1]Sheet1!$A:$D,4,FALSE)</f>
        <v>3</v>
      </c>
      <c r="G85">
        <f>VLOOKUP(A85,[2]Sheet1!$A:$D,2,FALSE)</f>
        <v>-1</v>
      </c>
      <c r="H85">
        <f>VLOOKUP(A85,[2]Sheet1!$A:$D,3,FALSE)</f>
        <v>-1</v>
      </c>
      <c r="I85">
        <f>VLOOKUP(A85,[2]Sheet1!$A:$D,4,FALSE)</f>
        <v>-1</v>
      </c>
      <c r="J85" t="str">
        <f>VLOOKUP(A85,[3]Sheet1!$A:$C,2,FALSE)</f>
        <v>AUTO</v>
      </c>
      <c r="K85" t="str">
        <f>VLOOKUP(A85,[3]Sheet1!$A:$C,3,FALSE)</f>
        <v>ALL</v>
      </c>
    </row>
    <row r="86" spans="1:11" x14ac:dyDescent="0.25">
      <c r="A86" s="2" t="s">
        <v>89</v>
      </c>
      <c r="B86">
        <v>66</v>
      </c>
      <c r="C86" t="s">
        <v>4</v>
      </c>
      <c r="D86" t="str">
        <f>VLOOKUP(A86,[1]Sheet1!$A:$D,2,FALSE)</f>
        <v>Philips Medical Systems</v>
      </c>
      <c r="E86" t="str">
        <f>VLOOKUP(A86,[1]Sheet1!$A:$D,3,FALSE)</f>
        <v>Intera</v>
      </c>
      <c r="F86">
        <f>VLOOKUP(A86,[1]Sheet1!$A:$D,4,FALSE)</f>
        <v>1.5</v>
      </c>
      <c r="G86">
        <f>VLOOKUP(A86,[2]Sheet1!$A:$D,2,FALSE)</f>
        <v>0</v>
      </c>
      <c r="H86">
        <f>VLOOKUP(A86,[2]Sheet1!$A:$D,3,FALSE)</f>
        <v>0</v>
      </c>
      <c r="I86">
        <f>VLOOKUP(A86,[2]Sheet1!$A:$D,4,FALSE)</f>
        <v>4</v>
      </c>
      <c r="J86" t="str">
        <f>VLOOKUP(A86,[3]Sheet1!$A:$C,2,FALSE)</f>
        <v>AUTO</v>
      </c>
      <c r="K86" t="str">
        <f>VLOOKUP(A86,[3]Sheet1!$A:$C,3,FALSE)</f>
        <v>ALL</v>
      </c>
    </row>
    <row r="87" spans="1:11" x14ac:dyDescent="0.25">
      <c r="A87" s="2" t="s">
        <v>90</v>
      </c>
      <c r="B87">
        <v>37</v>
      </c>
      <c r="C87" t="s">
        <v>4</v>
      </c>
      <c r="D87" t="str">
        <f>VLOOKUP(A87,[1]Sheet1!$A:$D,2,FALSE)</f>
        <v>GE MEDICAL SYSTEMS</v>
      </c>
      <c r="E87" t="str">
        <f>VLOOKUP(A87,[1]Sheet1!$A:$D,3,FALSE)</f>
        <v>DISCOVERY MR750</v>
      </c>
      <c r="F87">
        <f>VLOOKUP(A87,[1]Sheet1!$A:$D,4,FALSE)</f>
        <v>3</v>
      </c>
      <c r="G87">
        <f>VLOOKUP(A87,[2]Sheet1!$A:$D,2,FALSE)</f>
        <v>1</v>
      </c>
      <c r="H87">
        <f>VLOOKUP(A87,[2]Sheet1!$A:$D,3,FALSE)</f>
        <v>0</v>
      </c>
      <c r="I87">
        <f>VLOOKUP(A87,[2]Sheet1!$A:$D,4,FALSE)</f>
        <v>2</v>
      </c>
      <c r="J87" t="str">
        <f>VLOOKUP(A87,[3]Sheet1!$A:$C,2,FALSE)</f>
        <v>AUTO</v>
      </c>
      <c r="K87" t="str">
        <f>VLOOKUP(A87,[3]Sheet1!$A:$C,3,FALSE)</f>
        <v>ALL</v>
      </c>
    </row>
    <row r="88" spans="1:11" x14ac:dyDescent="0.25">
      <c r="A88" s="2" t="s">
        <v>91</v>
      </c>
      <c r="B88">
        <v>48</v>
      </c>
      <c r="C88" t="s">
        <v>7</v>
      </c>
      <c r="D88" t="str">
        <f>VLOOKUP(A88,[1]Sheet1!$A:$D,2,FALSE)</f>
        <v>Philips Medical Systems</v>
      </c>
      <c r="E88" t="str">
        <f>VLOOKUP(A88,[1]Sheet1!$A:$D,3,FALSE)</f>
        <v>NT Intera</v>
      </c>
      <c r="F88">
        <f>VLOOKUP(A88,[1]Sheet1!$A:$D,4,FALSE)</f>
        <v>1</v>
      </c>
      <c r="G88">
        <f>VLOOKUP(A88,[2]Sheet1!$A:$D,2,FALSE)</f>
        <v>-1</v>
      </c>
      <c r="H88">
        <f>VLOOKUP(A88,[2]Sheet1!$A:$D,3,FALSE)</f>
        <v>-1</v>
      </c>
      <c r="I88">
        <f>VLOOKUP(A88,[2]Sheet1!$A:$D,4,FALSE)</f>
        <v>4</v>
      </c>
      <c r="J88" t="str">
        <f>VLOOKUP(A88,[3]Sheet1!$A:$C,2,FALSE)</f>
        <v>AUTO</v>
      </c>
      <c r="K88" t="str">
        <f>VLOOKUP(A88,[3]Sheet1!$A:$C,3,FALSE)</f>
        <v>ALL</v>
      </c>
    </row>
    <row r="89" spans="1:11" x14ac:dyDescent="0.25">
      <c r="A89" s="2" t="s">
        <v>92</v>
      </c>
      <c r="B89">
        <v>71</v>
      </c>
      <c r="C89" t="s">
        <v>7</v>
      </c>
      <c r="D89" t="str">
        <f>VLOOKUP(A89,[1]Sheet1!$A:$D,2,FALSE)</f>
        <v>Philips Medical Systems</v>
      </c>
      <c r="E89" t="str">
        <f>VLOOKUP(A89,[1]Sheet1!$A:$D,3,FALSE)</f>
        <v>Achieva dStream</v>
      </c>
      <c r="F89">
        <f>VLOOKUP(A89,[1]Sheet1!$A:$D,4,FALSE)</f>
        <v>1.5</v>
      </c>
      <c r="G89">
        <f>VLOOKUP(A89,[2]Sheet1!$A:$D,2,FALSE)</f>
        <v>0</v>
      </c>
      <c r="H89">
        <f>VLOOKUP(A89,[2]Sheet1!$A:$D,3,FALSE)</f>
        <v>-1</v>
      </c>
      <c r="I89">
        <f>VLOOKUP(A89,[2]Sheet1!$A:$D,4,FALSE)</f>
        <v>4</v>
      </c>
      <c r="J89" t="str">
        <f>VLOOKUP(A89,[3]Sheet1!$A:$C,2,FALSE)</f>
        <v>AUTO</v>
      </c>
      <c r="K89" t="str">
        <f>VLOOKUP(A89,[3]Sheet1!$A:$C,3,FALSE)</f>
        <v>ALL</v>
      </c>
    </row>
    <row r="90" spans="1:11" x14ac:dyDescent="0.25">
      <c r="A90" s="2" t="s">
        <v>93</v>
      </c>
      <c r="B90">
        <v>71</v>
      </c>
      <c r="C90" t="s">
        <v>7</v>
      </c>
      <c r="D90" t="str">
        <f>VLOOKUP(A90,[1]Sheet1!$A:$D,2,FALSE)</f>
        <v>GE MEDICAL SYSTEMS</v>
      </c>
      <c r="E90" t="str">
        <f>VLOOKUP(A90,[1]Sheet1!$A:$D,3,FALSE)</f>
        <v>Optima MR450w</v>
      </c>
      <c r="F90">
        <f>VLOOKUP(A90,[1]Sheet1!$A:$D,4,FALSE)</f>
        <v>1.5</v>
      </c>
      <c r="G90">
        <f>VLOOKUP(A90,[2]Sheet1!$A:$D,2,FALSE)</f>
        <v>0</v>
      </c>
      <c r="H90">
        <f>VLOOKUP(A90,[2]Sheet1!$A:$D,3,FALSE)</f>
        <v>0</v>
      </c>
      <c r="I90">
        <f>VLOOKUP(A90,[2]Sheet1!$A:$D,4,FALSE)</f>
        <v>-1</v>
      </c>
      <c r="J90" t="str">
        <f>VLOOKUP(A90,[3]Sheet1!$A:$C,2,FALSE)</f>
        <v>AUTO</v>
      </c>
      <c r="K90" t="str">
        <f>VLOOKUP(A90,[3]Sheet1!$A:$C,3,FALSE)</f>
        <v>ALL</v>
      </c>
    </row>
    <row r="91" spans="1:11" x14ac:dyDescent="0.25">
      <c r="A91" s="2" t="s">
        <v>94</v>
      </c>
      <c r="B91">
        <v>26</v>
      </c>
      <c r="C91" t="s">
        <v>4</v>
      </c>
      <c r="D91" t="str">
        <f>VLOOKUP(A91,[1]Sheet1!$A:$D,2,FALSE)</f>
        <v>SIEMENS</v>
      </c>
      <c r="E91" t="str">
        <f>VLOOKUP(A91,[1]Sheet1!$A:$D,3,FALSE)</f>
        <v>MAGNETOM_ESSENZA</v>
      </c>
      <c r="F91">
        <f>VLOOKUP(A91,[1]Sheet1!$A:$D,4,FALSE)</f>
        <v>1.5</v>
      </c>
      <c r="G91">
        <f>VLOOKUP(A91,[2]Sheet1!$A:$D,2,FALSE)</f>
        <v>1</v>
      </c>
      <c r="H91">
        <f>VLOOKUP(A91,[2]Sheet1!$A:$D,3,FALSE)</f>
        <v>0</v>
      </c>
      <c r="I91">
        <f>VLOOKUP(A91,[2]Sheet1!$A:$D,4,FALSE)</f>
        <v>2</v>
      </c>
      <c r="J91" t="str">
        <f>VLOOKUP(A91,[3]Sheet1!$A:$C,2,FALSE)</f>
        <v>OBS2</v>
      </c>
      <c r="K91" t="str">
        <f>VLOOKUP(A91,[3]Sheet1!$A:$C,3,FALSE)</f>
        <v>FLAIR</v>
      </c>
    </row>
    <row r="92" spans="1:11" x14ac:dyDescent="0.25">
      <c r="A92" s="2" t="s">
        <v>95</v>
      </c>
      <c r="B92">
        <v>45</v>
      </c>
      <c r="C92" t="s">
        <v>4</v>
      </c>
      <c r="D92" t="str">
        <f>VLOOKUP(A92,[1]Sheet1!$A:$D,2,FALSE)</f>
        <v>Philips Medical Systems</v>
      </c>
      <c r="E92" t="str">
        <f>VLOOKUP(A92,[1]Sheet1!$A:$D,3,FALSE)</f>
        <v>Achieva</v>
      </c>
      <c r="F92">
        <f>VLOOKUP(A92,[1]Sheet1!$A:$D,4,FALSE)</f>
        <v>1.5</v>
      </c>
      <c r="G92">
        <f>VLOOKUP(A92,[2]Sheet1!$A:$D,2,FALSE)</f>
        <v>-1</v>
      </c>
      <c r="H92">
        <f>VLOOKUP(A92,[2]Sheet1!$A:$D,3,FALSE)</f>
        <v>-1</v>
      </c>
      <c r="I92">
        <f>VLOOKUP(A92,[2]Sheet1!$A:$D,4,FALSE)</f>
        <v>4</v>
      </c>
      <c r="J92" t="str">
        <f>VLOOKUP(A92,[3]Sheet1!$A:$C,2,FALSE)</f>
        <v>OBS1</v>
      </c>
      <c r="K92" t="str">
        <f>VLOOKUP(A92,[3]Sheet1!$A:$C,3,FALSE)</f>
        <v>T2</v>
      </c>
    </row>
    <row r="93" spans="1:11" x14ac:dyDescent="0.25">
      <c r="A93" s="2" t="s">
        <v>96</v>
      </c>
      <c r="B93">
        <v>59</v>
      </c>
      <c r="C93" t="s">
        <v>4</v>
      </c>
      <c r="D93" t="str">
        <f>VLOOKUP(A93,[1]Sheet1!$A:$D,2,FALSE)</f>
        <v>GE MEDICAL SYSTEMS</v>
      </c>
      <c r="E93" t="str">
        <f>VLOOKUP(A93,[1]Sheet1!$A:$D,3,FALSE)</f>
        <v>DISCOVERY MR750</v>
      </c>
      <c r="F93">
        <f>VLOOKUP(A93,[1]Sheet1!$A:$D,4,FALSE)</f>
        <v>3</v>
      </c>
      <c r="G93">
        <f>VLOOKUP(A93,[2]Sheet1!$A:$D,2,FALSE)</f>
        <v>-1</v>
      </c>
      <c r="H93">
        <f>VLOOKUP(A93,[2]Sheet1!$A:$D,3,FALSE)</f>
        <v>-1</v>
      </c>
      <c r="I93">
        <f>VLOOKUP(A93,[2]Sheet1!$A:$D,4,FALSE)</f>
        <v>4</v>
      </c>
      <c r="J93" t="str">
        <f>VLOOKUP(A93,[3]Sheet1!$A:$C,2,FALSE)</f>
        <v>AUTO</v>
      </c>
      <c r="K93" t="str">
        <f>VLOOKUP(A93,[3]Sheet1!$A:$C,3,FALSE)</f>
        <v>ALL</v>
      </c>
    </row>
    <row r="94" spans="1:11" x14ac:dyDescent="0.25">
      <c r="A94" s="2" t="s">
        <v>97</v>
      </c>
      <c r="B94">
        <v>77</v>
      </c>
      <c r="C94" t="s">
        <v>4</v>
      </c>
      <c r="D94" t="str">
        <f>VLOOKUP(A94,[1]Sheet1!$A:$D,2,FALSE)</f>
        <v>Philips Medical Systems</v>
      </c>
      <c r="E94" t="str">
        <f>VLOOKUP(A94,[1]Sheet1!$A:$D,3,FALSE)</f>
        <v>Intera</v>
      </c>
      <c r="F94">
        <f>VLOOKUP(A94,[1]Sheet1!$A:$D,4,FALSE)</f>
        <v>1.5</v>
      </c>
      <c r="G94">
        <f>VLOOKUP(A94,[2]Sheet1!$A:$D,2,FALSE)</f>
        <v>-1</v>
      </c>
      <c r="H94">
        <f>VLOOKUP(A94,[2]Sheet1!$A:$D,3,FALSE)</f>
        <v>-1</v>
      </c>
      <c r="I94">
        <f>VLOOKUP(A94,[2]Sheet1!$A:$D,4,FALSE)</f>
        <v>4</v>
      </c>
      <c r="J94" t="str">
        <f>VLOOKUP(A94,[3]Sheet1!$A:$C,2,FALSE)</f>
        <v>AUTO</v>
      </c>
      <c r="K94" t="str">
        <f>VLOOKUP(A94,[3]Sheet1!$A:$C,3,FALSE)</f>
        <v>ALL</v>
      </c>
    </row>
    <row r="95" spans="1:11" x14ac:dyDescent="0.25">
      <c r="A95" s="2" t="s">
        <v>98</v>
      </c>
      <c r="B95">
        <v>65</v>
      </c>
      <c r="C95" t="s">
        <v>7</v>
      </c>
      <c r="D95" t="str">
        <f>VLOOKUP(A95,[1]Sheet1!$A:$D,2,FALSE)</f>
        <v>Philips Healthcare</v>
      </c>
      <c r="E95" t="str">
        <f>VLOOKUP(A95,[1]Sheet1!$A:$D,3,FALSE)</f>
        <v>Ingenia</v>
      </c>
      <c r="F95">
        <f>VLOOKUP(A95,[1]Sheet1!$A:$D,4,FALSE)</f>
        <v>3</v>
      </c>
      <c r="G95">
        <f>VLOOKUP(A95,[2]Sheet1!$A:$D,2,FALSE)</f>
        <v>0</v>
      </c>
      <c r="H95">
        <f>VLOOKUP(A95,[2]Sheet1!$A:$D,3,FALSE)</f>
        <v>-1</v>
      </c>
      <c r="I95">
        <f>VLOOKUP(A95,[2]Sheet1!$A:$D,4,FALSE)</f>
        <v>4</v>
      </c>
      <c r="J95" t="str">
        <f>VLOOKUP(A95,[3]Sheet1!$A:$C,2,FALSE)</f>
        <v>OBS1</v>
      </c>
      <c r="K95" t="str">
        <f>VLOOKUP(A95,[3]Sheet1!$A:$C,3,FALSE)</f>
        <v>T2</v>
      </c>
    </row>
    <row r="96" spans="1:11" x14ac:dyDescent="0.25">
      <c r="A96" s="2" t="s">
        <v>99</v>
      </c>
      <c r="B96">
        <v>60</v>
      </c>
      <c r="C96" t="s">
        <v>4</v>
      </c>
      <c r="D96" t="str">
        <f>VLOOKUP(A96,[1]Sheet1!$A:$D,2,FALSE)</f>
        <v>Philips Medical Systems</v>
      </c>
      <c r="E96" t="str">
        <f>VLOOKUP(A96,[1]Sheet1!$A:$D,3,FALSE)</f>
        <v>Intera</v>
      </c>
      <c r="F96">
        <f>VLOOKUP(A96,[1]Sheet1!$A:$D,4,FALSE)</f>
        <v>1.5</v>
      </c>
      <c r="G96">
        <f>VLOOKUP(A96,[2]Sheet1!$A:$D,2,FALSE)</f>
        <v>-1</v>
      </c>
      <c r="H96">
        <f>VLOOKUP(A96,[2]Sheet1!$A:$D,3,FALSE)</f>
        <v>-1</v>
      </c>
      <c r="I96">
        <f>VLOOKUP(A96,[2]Sheet1!$A:$D,4,FALSE)</f>
        <v>4</v>
      </c>
      <c r="J96" t="str">
        <f>VLOOKUP(A96,[3]Sheet1!$A:$C,2,FALSE)</f>
        <v>AUTO</v>
      </c>
      <c r="K96" t="str">
        <f>VLOOKUP(A96,[3]Sheet1!$A:$C,3,FALSE)</f>
        <v>ALL</v>
      </c>
    </row>
    <row r="97" spans="1:11" x14ac:dyDescent="0.25">
      <c r="A97" s="2" t="s">
        <v>100</v>
      </c>
      <c r="B97">
        <v>29</v>
      </c>
      <c r="C97" t="s">
        <v>4</v>
      </c>
      <c r="D97" t="str">
        <f>VLOOKUP(A97,[1]Sheet1!$A:$D,2,FALSE)</f>
        <v>Philips Medical Systems</v>
      </c>
      <c r="E97" t="str">
        <f>VLOOKUP(A97,[1]Sheet1!$A:$D,3,FALSE)</f>
        <v>Achieva</v>
      </c>
      <c r="F97">
        <f>VLOOKUP(A97,[1]Sheet1!$A:$D,4,FALSE)</f>
        <v>1.5</v>
      </c>
      <c r="G97">
        <f>VLOOKUP(A97,[2]Sheet1!$A:$D,2,FALSE)</f>
        <v>-1</v>
      </c>
      <c r="H97">
        <f>VLOOKUP(A97,[2]Sheet1!$A:$D,3,FALSE)</f>
        <v>-1</v>
      </c>
      <c r="I97">
        <f>VLOOKUP(A97,[2]Sheet1!$A:$D,4,FALSE)</f>
        <v>3</v>
      </c>
      <c r="J97" t="str">
        <f>VLOOKUP(A97,[3]Sheet1!$A:$C,2,FALSE)</f>
        <v>AUTO</v>
      </c>
      <c r="K97" t="str">
        <f>VLOOKUP(A97,[3]Sheet1!$A:$C,3,FALSE)</f>
        <v>ALL</v>
      </c>
    </row>
    <row r="98" spans="1:11" x14ac:dyDescent="0.25">
      <c r="A98" s="2" t="s">
        <v>101</v>
      </c>
      <c r="B98">
        <v>61</v>
      </c>
      <c r="C98" t="s">
        <v>4</v>
      </c>
      <c r="D98" t="str">
        <f>VLOOKUP(A98,[1]Sheet1!$A:$D,2,FALSE)</f>
        <v>Philips Medical Systems</v>
      </c>
      <c r="E98" t="str">
        <f>VLOOKUP(A98,[1]Sheet1!$A:$D,3,FALSE)</f>
        <v>Achieva dStream</v>
      </c>
      <c r="F98">
        <f>VLOOKUP(A98,[1]Sheet1!$A:$D,4,FALSE)</f>
        <v>1.5</v>
      </c>
      <c r="G98">
        <f>VLOOKUP(A98,[2]Sheet1!$A:$D,2,FALSE)</f>
        <v>0</v>
      </c>
      <c r="H98">
        <f>VLOOKUP(A98,[2]Sheet1!$A:$D,3,FALSE)</f>
        <v>-1</v>
      </c>
      <c r="I98">
        <f>VLOOKUP(A98,[2]Sheet1!$A:$D,4,FALSE)</f>
        <v>4</v>
      </c>
      <c r="J98" t="str">
        <f>VLOOKUP(A98,[3]Sheet1!$A:$C,2,FALSE)</f>
        <v>AUTO</v>
      </c>
      <c r="K98" t="str">
        <f>VLOOKUP(A98,[3]Sheet1!$A:$C,3,FALSE)</f>
        <v>ALL</v>
      </c>
    </row>
    <row r="99" spans="1:11" x14ac:dyDescent="0.25">
      <c r="A99" s="2" t="s">
        <v>102</v>
      </c>
      <c r="B99">
        <v>67</v>
      </c>
      <c r="C99" t="s">
        <v>4</v>
      </c>
      <c r="D99" t="str">
        <f>VLOOKUP(A99,[1]Sheet1!$A:$D,2,FALSE)</f>
        <v>Philips Medical Systems</v>
      </c>
      <c r="E99" t="str">
        <f>VLOOKUP(A99,[1]Sheet1!$A:$D,3,FALSE)</f>
        <v>Gyroscan NT</v>
      </c>
      <c r="F99">
        <f>VLOOKUP(A99,[1]Sheet1!$A:$D,4,FALSE)</f>
        <v>0.5</v>
      </c>
      <c r="G99">
        <f>VLOOKUP(A99,[2]Sheet1!$A:$D,2,FALSE)</f>
        <v>-1</v>
      </c>
      <c r="H99">
        <f>VLOOKUP(A99,[2]Sheet1!$A:$D,3,FALSE)</f>
        <v>0</v>
      </c>
      <c r="I99">
        <f>VLOOKUP(A99,[2]Sheet1!$A:$D,4,FALSE)</f>
        <v>2</v>
      </c>
      <c r="J99" t="str">
        <f>VLOOKUP(A99,[3]Sheet1!$A:$C,2,FALSE)</f>
        <v>OBS1</v>
      </c>
      <c r="K99" t="str">
        <f>VLOOKUP(A99,[3]Sheet1!$A:$C,3,FALSE)</f>
        <v>T2</v>
      </c>
    </row>
    <row r="100" spans="1:11" x14ac:dyDescent="0.25">
      <c r="A100" s="2" t="s">
        <v>103</v>
      </c>
      <c r="B100">
        <v>73</v>
      </c>
      <c r="C100" t="s">
        <v>4</v>
      </c>
      <c r="D100" t="str">
        <f>VLOOKUP(A100,[1]Sheet1!$A:$D,2,FALSE)</f>
        <v>GE MEDICAL SYSTEMS</v>
      </c>
      <c r="E100" t="str">
        <f>VLOOKUP(A100,[1]Sheet1!$A:$D,3,FALSE)</f>
        <v>Signa HDxt</v>
      </c>
      <c r="F100">
        <f>VLOOKUP(A100,[1]Sheet1!$A:$D,4,FALSE)</f>
        <v>1.5</v>
      </c>
      <c r="G100">
        <f>VLOOKUP(A100,[2]Sheet1!$A:$D,2,FALSE)</f>
        <v>0</v>
      </c>
      <c r="H100">
        <f>VLOOKUP(A100,[2]Sheet1!$A:$D,3,FALSE)</f>
        <v>0</v>
      </c>
      <c r="I100">
        <f>VLOOKUP(A100,[2]Sheet1!$A:$D,4,FALSE)</f>
        <v>2</v>
      </c>
      <c r="J100" t="str">
        <f>VLOOKUP(A100,[3]Sheet1!$A:$C,2,FALSE)</f>
        <v>OBS1</v>
      </c>
      <c r="K100" t="str">
        <f>VLOOKUP(A100,[3]Sheet1!$A:$C,3,FALSE)</f>
        <v>T2</v>
      </c>
    </row>
    <row r="101" spans="1:11" x14ac:dyDescent="0.25">
      <c r="A101" s="2" t="s">
        <v>104</v>
      </c>
      <c r="B101">
        <v>48</v>
      </c>
      <c r="C101" t="s">
        <v>7</v>
      </c>
      <c r="D101" t="str">
        <f>VLOOKUP(A101,[1]Sheet1!$A:$D,2,FALSE)</f>
        <v>Philips Medical Systems</v>
      </c>
      <c r="E101" t="str">
        <f>VLOOKUP(A101,[1]Sheet1!$A:$D,3,FALSE)</f>
        <v>Achieva</v>
      </c>
      <c r="F101">
        <f>VLOOKUP(A101,[1]Sheet1!$A:$D,4,FALSE)</f>
        <v>1.5</v>
      </c>
      <c r="G101">
        <f>VLOOKUP(A101,[2]Sheet1!$A:$D,2,FALSE)</f>
        <v>0</v>
      </c>
      <c r="H101">
        <f>VLOOKUP(A101,[2]Sheet1!$A:$D,3,FALSE)</f>
        <v>-1</v>
      </c>
      <c r="I101">
        <f>VLOOKUP(A101,[2]Sheet1!$A:$D,4,FALSE)</f>
        <v>4</v>
      </c>
      <c r="J101" t="str">
        <f>VLOOKUP(A101,[3]Sheet1!$A:$C,2,FALSE)</f>
        <v>OBS1</v>
      </c>
      <c r="K101" t="str">
        <f>VLOOKUP(A101,[3]Sheet1!$A:$C,3,FALSE)</f>
        <v>T2</v>
      </c>
    </row>
    <row r="102" spans="1:11" x14ac:dyDescent="0.25">
      <c r="A102" s="2" t="s">
        <v>105</v>
      </c>
      <c r="B102">
        <v>51</v>
      </c>
      <c r="C102" t="s">
        <v>4</v>
      </c>
      <c r="D102" t="str">
        <f>VLOOKUP(A102,[1]Sheet1!$A:$D,2,FALSE)</f>
        <v>SIEMENS</v>
      </c>
      <c r="E102" t="str">
        <f>VLOOKUP(A102,[1]Sheet1!$A:$D,3,FALSE)</f>
        <v>Skyra</v>
      </c>
      <c r="F102">
        <f>VLOOKUP(A102,[1]Sheet1!$A:$D,4,FALSE)</f>
        <v>3</v>
      </c>
      <c r="G102">
        <f>VLOOKUP(A102,[2]Sheet1!$A:$D,2,FALSE)</f>
        <v>1</v>
      </c>
      <c r="H102">
        <f>VLOOKUP(A102,[2]Sheet1!$A:$D,3,FALSE)</f>
        <v>0</v>
      </c>
      <c r="I102">
        <f>VLOOKUP(A102,[2]Sheet1!$A:$D,4,FALSE)</f>
        <v>2</v>
      </c>
      <c r="J102" t="str">
        <f>VLOOKUP(A102,[3]Sheet1!$A:$C,2,FALSE)</f>
        <v>AUTO</v>
      </c>
      <c r="K102" t="str">
        <f>VLOOKUP(A102,[3]Sheet1!$A:$C,3,FALSE)</f>
        <v>ALL</v>
      </c>
    </row>
    <row r="103" spans="1:11" x14ac:dyDescent="0.25">
      <c r="A103" s="2" t="s">
        <v>106</v>
      </c>
      <c r="B103">
        <v>73</v>
      </c>
      <c r="C103" t="s">
        <v>7</v>
      </c>
      <c r="D103" t="str">
        <f>VLOOKUP(A103,[1]Sheet1!$A:$D,2,FALSE)</f>
        <v>Philips Medical Systems</v>
      </c>
      <c r="E103" t="str">
        <f>VLOOKUP(A103,[1]Sheet1!$A:$D,3,FALSE)</f>
        <v>Intera</v>
      </c>
      <c r="F103">
        <f>VLOOKUP(A103,[1]Sheet1!$A:$D,4,FALSE)</f>
        <v>1.5</v>
      </c>
      <c r="G103">
        <f>VLOOKUP(A103,[2]Sheet1!$A:$D,2,FALSE)</f>
        <v>0</v>
      </c>
      <c r="H103">
        <f>VLOOKUP(A103,[2]Sheet1!$A:$D,3,FALSE)</f>
        <v>-1</v>
      </c>
      <c r="I103">
        <f>VLOOKUP(A103,[2]Sheet1!$A:$D,4,FALSE)</f>
        <v>4</v>
      </c>
      <c r="J103" t="str">
        <f>VLOOKUP(A103,[3]Sheet1!$A:$C,2,FALSE)</f>
        <v>OBS1</v>
      </c>
      <c r="K103" t="str">
        <f>VLOOKUP(A103,[3]Sheet1!$A:$C,3,FALSE)</f>
        <v>T2</v>
      </c>
    </row>
    <row r="104" spans="1:11" x14ac:dyDescent="0.25">
      <c r="A104" s="2" t="s">
        <v>107</v>
      </c>
      <c r="B104">
        <v>40</v>
      </c>
      <c r="C104" t="s">
        <v>7</v>
      </c>
      <c r="D104" t="str">
        <f>VLOOKUP(A104,[1]Sheet1!$A:$D,2,FALSE)</f>
        <v>SIEMENS</v>
      </c>
      <c r="E104" t="str">
        <f>VLOOKUP(A104,[1]Sheet1!$A:$D,3,FALSE)</f>
        <v>Avanto</v>
      </c>
      <c r="F104">
        <f>VLOOKUP(A104,[1]Sheet1!$A:$D,4,FALSE)</f>
        <v>1.5</v>
      </c>
      <c r="G104">
        <f>VLOOKUP(A104,[2]Sheet1!$A:$D,2,FALSE)</f>
        <v>-1</v>
      </c>
      <c r="H104">
        <f>VLOOKUP(A104,[2]Sheet1!$A:$D,3,FALSE)</f>
        <v>0</v>
      </c>
      <c r="I104">
        <f>VLOOKUP(A104,[2]Sheet1!$A:$D,4,FALSE)</f>
        <v>3</v>
      </c>
      <c r="J104" t="str">
        <f>VLOOKUP(A104,[3]Sheet1!$A:$C,2,FALSE)</f>
        <v>AUTO</v>
      </c>
      <c r="K104" t="str">
        <f>VLOOKUP(A104,[3]Sheet1!$A:$C,3,FALSE)</f>
        <v>ALL</v>
      </c>
    </row>
    <row r="105" spans="1:11" x14ac:dyDescent="0.25">
      <c r="A105" s="2" t="s">
        <v>108</v>
      </c>
      <c r="B105">
        <v>48</v>
      </c>
      <c r="C105" t="s">
        <v>7</v>
      </c>
      <c r="D105" t="str">
        <f>VLOOKUP(A105,[1]Sheet1!$A:$D,2,FALSE)</f>
        <v>SIEMENS</v>
      </c>
      <c r="E105" t="str">
        <f>VLOOKUP(A105,[1]Sheet1!$A:$D,3,FALSE)</f>
        <v>Harmony</v>
      </c>
      <c r="F105">
        <f>VLOOKUP(A105,[1]Sheet1!$A:$D,4,FALSE)</f>
        <v>1</v>
      </c>
      <c r="G105">
        <f>VLOOKUP(A105,[2]Sheet1!$A:$D,2,FALSE)</f>
        <v>-1</v>
      </c>
      <c r="H105">
        <f>VLOOKUP(A105,[2]Sheet1!$A:$D,3,FALSE)</f>
        <v>-1</v>
      </c>
      <c r="I105">
        <f>VLOOKUP(A105,[2]Sheet1!$A:$D,4,FALSE)</f>
        <v>4</v>
      </c>
      <c r="J105" t="str">
        <f>VLOOKUP(A105,[3]Sheet1!$A:$C,2,FALSE)</f>
        <v>OBS1</v>
      </c>
      <c r="K105" t="str">
        <f>VLOOKUP(A105,[3]Sheet1!$A:$C,3,FALSE)</f>
        <v>FLAIR</v>
      </c>
    </row>
    <row r="106" spans="1:11" x14ac:dyDescent="0.25">
      <c r="A106" s="2" t="s">
        <v>109</v>
      </c>
      <c r="B106">
        <v>54</v>
      </c>
      <c r="C106" t="s">
        <v>4</v>
      </c>
      <c r="D106" t="str">
        <f>VLOOKUP(A106,[1]Sheet1!$A:$D,2,FALSE)</f>
        <v>Philips Medical Systems</v>
      </c>
      <c r="E106" t="str">
        <f>VLOOKUP(A106,[1]Sheet1!$A:$D,3,FALSE)</f>
        <v>Intera</v>
      </c>
      <c r="F106">
        <f>VLOOKUP(A106,[1]Sheet1!$A:$D,4,FALSE)</f>
        <v>1.5</v>
      </c>
      <c r="G106">
        <f>VLOOKUP(A106,[2]Sheet1!$A:$D,2,FALSE)</f>
        <v>0</v>
      </c>
      <c r="H106">
        <f>VLOOKUP(A106,[2]Sheet1!$A:$D,3,FALSE)</f>
        <v>-1</v>
      </c>
      <c r="I106">
        <f>VLOOKUP(A106,[2]Sheet1!$A:$D,4,FALSE)</f>
        <v>4</v>
      </c>
      <c r="J106" t="str">
        <f>VLOOKUP(A106,[3]Sheet1!$A:$C,2,FALSE)</f>
        <v>OBS1</v>
      </c>
      <c r="K106" t="str">
        <f>VLOOKUP(A106,[3]Sheet1!$A:$C,3,FALSE)</f>
        <v>T2</v>
      </c>
    </row>
    <row r="107" spans="1:11" x14ac:dyDescent="0.25">
      <c r="A107" s="2" t="s">
        <v>110</v>
      </c>
      <c r="B107">
        <v>52</v>
      </c>
      <c r="C107" t="s">
        <v>4</v>
      </c>
      <c r="D107" t="str">
        <f>VLOOKUP(A107,[1]Sheet1!$A:$D,2,FALSE)</f>
        <v>GE MEDICAL SYSTEMS</v>
      </c>
      <c r="E107" t="str">
        <f>VLOOKUP(A107,[1]Sheet1!$A:$D,3,FALSE)</f>
        <v>DISCOVERY MR450</v>
      </c>
      <c r="F107">
        <f>VLOOKUP(A107,[1]Sheet1!$A:$D,4,FALSE)</f>
        <v>1.5</v>
      </c>
      <c r="G107">
        <f>VLOOKUP(A107,[2]Sheet1!$A:$D,2,FALSE)</f>
        <v>1</v>
      </c>
      <c r="H107">
        <f>VLOOKUP(A107,[2]Sheet1!$A:$D,3,FALSE)</f>
        <v>0</v>
      </c>
      <c r="I107">
        <f>VLOOKUP(A107,[2]Sheet1!$A:$D,4,FALSE)</f>
        <v>2</v>
      </c>
      <c r="J107" t="str">
        <f>VLOOKUP(A107,[3]Sheet1!$A:$C,2,FALSE)</f>
        <v>OBS1</v>
      </c>
      <c r="K107" t="str">
        <f>VLOOKUP(A107,[3]Sheet1!$A:$C,3,FALSE)</f>
        <v>FLAIR</v>
      </c>
    </row>
    <row r="108" spans="1:11" x14ac:dyDescent="0.25">
      <c r="A108" s="2" t="s">
        <v>111</v>
      </c>
      <c r="B108">
        <v>23</v>
      </c>
      <c r="C108" t="s">
        <v>4</v>
      </c>
      <c r="D108" t="str">
        <f>VLOOKUP(A108,[1]Sheet1!$A:$D,2,FALSE)</f>
        <v>SIEMENS</v>
      </c>
      <c r="E108" t="str">
        <f>VLOOKUP(A108,[1]Sheet1!$A:$D,3,FALSE)</f>
        <v>Aera</v>
      </c>
      <c r="F108">
        <f>VLOOKUP(A108,[1]Sheet1!$A:$D,4,FALSE)</f>
        <v>1.5</v>
      </c>
      <c r="G108">
        <f>VLOOKUP(A108,[2]Sheet1!$A:$D,2,FALSE)</f>
        <v>1</v>
      </c>
      <c r="H108">
        <f>VLOOKUP(A108,[2]Sheet1!$A:$D,3,FALSE)</f>
        <v>0</v>
      </c>
      <c r="I108">
        <f>VLOOKUP(A108,[2]Sheet1!$A:$D,4,FALSE)</f>
        <v>4</v>
      </c>
      <c r="J108" t="str">
        <f>VLOOKUP(A108,[3]Sheet1!$A:$C,2,FALSE)</f>
        <v>OBS1</v>
      </c>
      <c r="K108" t="str">
        <f>VLOOKUP(A108,[3]Sheet1!$A:$C,3,FALSE)</f>
        <v>FLAIR</v>
      </c>
    </row>
    <row r="109" spans="1:11" x14ac:dyDescent="0.25">
      <c r="A109" s="2" t="s">
        <v>112</v>
      </c>
      <c r="B109">
        <v>75</v>
      </c>
      <c r="C109" t="s">
        <v>4</v>
      </c>
      <c r="D109" t="str">
        <f>VLOOKUP(A109,[1]Sheet1!$A:$D,2,FALSE)</f>
        <v>SIEMENS</v>
      </c>
      <c r="E109" t="str">
        <f>VLOOKUP(A109,[1]Sheet1!$A:$D,3,FALSE)</f>
        <v>Symphony</v>
      </c>
      <c r="F109">
        <f>VLOOKUP(A109,[1]Sheet1!$A:$D,4,FALSE)</f>
        <v>1.5</v>
      </c>
      <c r="G109">
        <f>VLOOKUP(A109,[2]Sheet1!$A:$D,2,FALSE)</f>
        <v>-1</v>
      </c>
      <c r="H109">
        <f>VLOOKUP(A109,[2]Sheet1!$A:$D,3,FALSE)</f>
        <v>-1</v>
      </c>
      <c r="I109">
        <f>VLOOKUP(A109,[2]Sheet1!$A:$D,4,FALSE)</f>
        <v>4</v>
      </c>
      <c r="J109" t="str">
        <f>VLOOKUP(A109,[3]Sheet1!$A:$C,2,FALSE)</f>
        <v>AUTO</v>
      </c>
      <c r="K109" t="str">
        <f>VLOOKUP(A109,[3]Sheet1!$A:$C,3,FALSE)</f>
        <v>ALL</v>
      </c>
    </row>
    <row r="110" spans="1:11" x14ac:dyDescent="0.25">
      <c r="A110" s="2" t="s">
        <v>113</v>
      </c>
      <c r="B110">
        <v>68</v>
      </c>
      <c r="C110" t="s">
        <v>4</v>
      </c>
      <c r="D110" t="str">
        <f>VLOOKUP(A110,[1]Sheet1!$A:$D,2,FALSE)</f>
        <v>GE MEDICAL SYSTEMS</v>
      </c>
      <c r="E110" t="str">
        <f>VLOOKUP(A110,[1]Sheet1!$A:$D,3,FALSE)</f>
        <v>DISCOVERY MR450</v>
      </c>
      <c r="F110">
        <f>VLOOKUP(A110,[1]Sheet1!$A:$D,4,FALSE)</f>
        <v>1.5</v>
      </c>
      <c r="G110">
        <f>VLOOKUP(A110,[2]Sheet1!$A:$D,2,FALSE)</f>
        <v>0</v>
      </c>
      <c r="H110">
        <f>VLOOKUP(A110,[2]Sheet1!$A:$D,3,FALSE)</f>
        <v>-1</v>
      </c>
      <c r="I110">
        <f>VLOOKUP(A110,[2]Sheet1!$A:$D,4,FALSE)</f>
        <v>4</v>
      </c>
      <c r="J110" t="str">
        <f>VLOOKUP(A110,[3]Sheet1!$A:$C,2,FALSE)</f>
        <v>OBS1</v>
      </c>
      <c r="K110" t="str">
        <f>VLOOKUP(A110,[3]Sheet1!$A:$C,3,FALSE)</f>
        <v>T2</v>
      </c>
    </row>
    <row r="111" spans="1:11" x14ac:dyDescent="0.25">
      <c r="A111" s="2" t="s">
        <v>114</v>
      </c>
      <c r="B111">
        <v>82</v>
      </c>
      <c r="C111" t="s">
        <v>4</v>
      </c>
      <c r="D111" t="str">
        <f>VLOOKUP(A111,[1]Sheet1!$A:$D,2,FALSE)</f>
        <v>GE MEDICAL SYSTEMS</v>
      </c>
      <c r="E111" t="str">
        <f>VLOOKUP(A111,[1]Sheet1!$A:$D,3,FALSE)</f>
        <v>DISCOVERY MR750</v>
      </c>
      <c r="F111">
        <f>VLOOKUP(A111,[1]Sheet1!$A:$D,4,FALSE)</f>
        <v>3</v>
      </c>
      <c r="G111">
        <f>VLOOKUP(A111,[2]Sheet1!$A:$D,2,FALSE)</f>
        <v>0</v>
      </c>
      <c r="H111">
        <f>VLOOKUP(A111,[2]Sheet1!$A:$D,3,FALSE)</f>
        <v>-1</v>
      </c>
      <c r="I111">
        <f>VLOOKUP(A111,[2]Sheet1!$A:$D,4,FALSE)</f>
        <v>4</v>
      </c>
      <c r="J111" t="str">
        <f>VLOOKUP(A111,[3]Sheet1!$A:$C,2,FALSE)</f>
        <v>OBS1</v>
      </c>
      <c r="K111" t="str">
        <f>VLOOKUP(A111,[3]Sheet1!$A:$C,3,FALSE)</f>
        <v>T2</v>
      </c>
    </row>
    <row r="112" spans="1:11" x14ac:dyDescent="0.25">
      <c r="A112" s="2" t="s">
        <v>115</v>
      </c>
      <c r="B112">
        <v>68</v>
      </c>
      <c r="C112" t="s">
        <v>7</v>
      </c>
      <c r="D112" t="str">
        <f>VLOOKUP(A112,[1]Sheet1!$A:$D,2,FALSE)</f>
        <v>SIEMENS</v>
      </c>
      <c r="E112" t="str">
        <f>VLOOKUP(A112,[1]Sheet1!$A:$D,3,FALSE)</f>
        <v>Aera</v>
      </c>
      <c r="F112">
        <f>VLOOKUP(A112,[1]Sheet1!$A:$D,4,FALSE)</f>
        <v>1.5</v>
      </c>
      <c r="G112">
        <f>VLOOKUP(A112,[2]Sheet1!$A:$D,2,FALSE)</f>
        <v>0</v>
      </c>
      <c r="H112">
        <f>VLOOKUP(A112,[2]Sheet1!$A:$D,3,FALSE)</f>
        <v>-1</v>
      </c>
      <c r="I112">
        <f>VLOOKUP(A112,[2]Sheet1!$A:$D,4,FALSE)</f>
        <v>4</v>
      </c>
      <c r="J112" t="str">
        <f>VLOOKUP(A112,[3]Sheet1!$A:$C,2,FALSE)</f>
        <v>AUTO</v>
      </c>
      <c r="K112" t="str">
        <f>VLOOKUP(A112,[3]Sheet1!$A:$C,3,FALSE)</f>
        <v>ALL</v>
      </c>
    </row>
    <row r="113" spans="1:11" x14ac:dyDescent="0.25">
      <c r="A113" s="2" t="s">
        <v>116</v>
      </c>
      <c r="B113">
        <v>63</v>
      </c>
      <c r="C113" t="s">
        <v>4</v>
      </c>
      <c r="D113" t="str">
        <f>VLOOKUP(A113,[1]Sheet1!$A:$D,2,FALSE)</f>
        <v>GE MEDICAL SYSTEMS</v>
      </c>
      <c r="E113" t="str">
        <f>VLOOKUP(A113,[1]Sheet1!$A:$D,3,FALSE)</f>
        <v>GENESIS_SIGNA</v>
      </c>
      <c r="F113">
        <f>VLOOKUP(A113,[1]Sheet1!$A:$D,4,FALSE)</f>
        <v>1.5</v>
      </c>
      <c r="G113">
        <f>VLOOKUP(A113,[2]Sheet1!$A:$D,2,FALSE)</f>
        <v>0</v>
      </c>
      <c r="H113">
        <f>VLOOKUP(A113,[2]Sheet1!$A:$D,3,FALSE)</f>
        <v>-1</v>
      </c>
      <c r="I113">
        <f>VLOOKUP(A113,[2]Sheet1!$A:$D,4,FALSE)</f>
        <v>4</v>
      </c>
      <c r="J113" t="str">
        <f>VLOOKUP(A113,[3]Sheet1!$A:$C,2,FALSE)</f>
        <v>OBS1</v>
      </c>
      <c r="K113" t="str">
        <f>VLOOKUP(A113,[3]Sheet1!$A:$C,3,FALSE)</f>
        <v>T2</v>
      </c>
    </row>
    <row r="114" spans="1:11" x14ac:dyDescent="0.25">
      <c r="A114" s="2" t="s">
        <v>117</v>
      </c>
      <c r="B114">
        <v>63</v>
      </c>
      <c r="C114" t="s">
        <v>4</v>
      </c>
      <c r="D114" t="str">
        <f>VLOOKUP(A114,[1]Sheet1!$A:$D,2,FALSE)</f>
        <v>SIEMENS</v>
      </c>
      <c r="E114" t="str">
        <f>VLOOKUP(A114,[1]Sheet1!$A:$D,3,FALSE)</f>
        <v>Avanto</v>
      </c>
      <c r="F114">
        <f>VLOOKUP(A114,[1]Sheet1!$A:$D,4,FALSE)</f>
        <v>1.5</v>
      </c>
      <c r="G114">
        <f>VLOOKUP(A114,[2]Sheet1!$A:$D,2,FALSE)</f>
        <v>-1</v>
      </c>
      <c r="H114">
        <f>VLOOKUP(A114,[2]Sheet1!$A:$D,3,FALSE)</f>
        <v>-1</v>
      </c>
      <c r="I114">
        <f>VLOOKUP(A114,[2]Sheet1!$A:$D,4,FALSE)</f>
        <v>4</v>
      </c>
      <c r="J114" t="str">
        <f>VLOOKUP(A114,[3]Sheet1!$A:$C,2,FALSE)</f>
        <v>AUTO</v>
      </c>
      <c r="K114" t="str">
        <f>VLOOKUP(A114,[3]Sheet1!$A:$C,3,FALSE)</f>
        <v>ALL</v>
      </c>
    </row>
    <row r="115" spans="1:11" x14ac:dyDescent="0.25">
      <c r="A115" s="2" t="s">
        <v>118</v>
      </c>
      <c r="B115">
        <v>45</v>
      </c>
      <c r="C115" t="s">
        <v>7</v>
      </c>
      <c r="D115" t="str">
        <f>VLOOKUP(A115,[1]Sheet1!$A:$D,2,FALSE)</f>
        <v>Philips Medical Systems</v>
      </c>
      <c r="E115" t="str">
        <f>VLOOKUP(A115,[1]Sheet1!$A:$D,3,FALSE)</f>
        <v>Achieva</v>
      </c>
      <c r="F115">
        <f>VLOOKUP(A115,[1]Sheet1!$A:$D,4,FALSE)</f>
        <v>1.5</v>
      </c>
      <c r="G115">
        <f>VLOOKUP(A115,[2]Sheet1!$A:$D,2,FALSE)</f>
        <v>0</v>
      </c>
      <c r="H115">
        <f>VLOOKUP(A115,[2]Sheet1!$A:$D,3,FALSE)</f>
        <v>-1</v>
      </c>
      <c r="I115">
        <f>VLOOKUP(A115,[2]Sheet1!$A:$D,4,FALSE)</f>
        <v>4</v>
      </c>
      <c r="J115" t="str">
        <f>VLOOKUP(A115,[3]Sheet1!$A:$C,2,FALSE)</f>
        <v>OBS1</v>
      </c>
      <c r="K115" t="str">
        <f>VLOOKUP(A115,[3]Sheet1!$A:$C,3,FALSE)</f>
        <v>T2</v>
      </c>
    </row>
    <row r="116" spans="1:11" x14ac:dyDescent="0.25">
      <c r="A116" s="2" t="s">
        <v>119</v>
      </c>
      <c r="B116">
        <v>77</v>
      </c>
      <c r="C116" t="s">
        <v>7</v>
      </c>
      <c r="D116" t="str">
        <f>VLOOKUP(A116,[1]Sheet1!$A:$D,2,FALSE)</f>
        <v>GE MEDICAL SYSTEMS</v>
      </c>
      <c r="E116" t="str">
        <f>VLOOKUP(A116,[1]Sheet1!$A:$D,3,FALSE)</f>
        <v>DISCOVERY MR450</v>
      </c>
      <c r="F116">
        <f>VLOOKUP(A116,[1]Sheet1!$A:$D,4,FALSE)</f>
        <v>1.5</v>
      </c>
      <c r="G116">
        <f>VLOOKUP(A116,[2]Sheet1!$A:$D,2,FALSE)</f>
        <v>0</v>
      </c>
      <c r="H116">
        <f>VLOOKUP(A116,[2]Sheet1!$A:$D,3,FALSE)</f>
        <v>0</v>
      </c>
      <c r="I116">
        <f>VLOOKUP(A116,[2]Sheet1!$A:$D,4,FALSE)</f>
        <v>4</v>
      </c>
      <c r="J116" t="str">
        <f>VLOOKUP(A116,[3]Sheet1!$A:$C,2,FALSE)</f>
        <v>OBS1</v>
      </c>
      <c r="K116" t="str">
        <f>VLOOKUP(A116,[3]Sheet1!$A:$C,3,FALSE)</f>
        <v>T2</v>
      </c>
    </row>
    <row r="117" spans="1:11" x14ac:dyDescent="0.25">
      <c r="A117" s="2" t="s">
        <v>120</v>
      </c>
      <c r="B117">
        <v>56</v>
      </c>
      <c r="C117" t="s">
        <v>4</v>
      </c>
      <c r="D117" t="str">
        <f>VLOOKUP(A117,[1]Sheet1!$A:$D,2,FALSE)</f>
        <v>Philips Medical Systems</v>
      </c>
      <c r="E117" t="str">
        <f>VLOOKUP(A117,[1]Sheet1!$A:$D,3,FALSE)</f>
        <v>Intera</v>
      </c>
      <c r="F117">
        <f>VLOOKUP(A117,[1]Sheet1!$A:$D,4,FALSE)</f>
        <v>1.5</v>
      </c>
      <c r="G117">
        <f>VLOOKUP(A117,[2]Sheet1!$A:$D,2,FALSE)</f>
        <v>-1</v>
      </c>
      <c r="H117">
        <f>VLOOKUP(A117,[2]Sheet1!$A:$D,3,FALSE)</f>
        <v>-1</v>
      </c>
      <c r="I117">
        <f>VLOOKUP(A117,[2]Sheet1!$A:$D,4,FALSE)</f>
        <v>4</v>
      </c>
      <c r="J117" t="str">
        <f>VLOOKUP(A117,[3]Sheet1!$A:$C,2,FALSE)</f>
        <v>OBS1</v>
      </c>
      <c r="K117" t="str">
        <f>VLOOKUP(A117,[3]Sheet1!$A:$C,3,FALSE)</f>
        <v>T2</v>
      </c>
    </row>
    <row r="118" spans="1:11" x14ac:dyDescent="0.25">
      <c r="A118" s="2" t="s">
        <v>121</v>
      </c>
      <c r="B118">
        <v>-1</v>
      </c>
      <c r="C118" t="s">
        <v>7</v>
      </c>
      <c r="D118" t="str">
        <f>VLOOKUP(A118,[1]Sheet1!$A:$D,2,FALSE)</f>
        <v>GE MEDICAL SYSTEMS</v>
      </c>
      <c r="E118" t="str">
        <f>VLOOKUP(A118,[1]Sheet1!$A:$D,3,FALSE)</f>
        <v>Optima MR450w</v>
      </c>
      <c r="F118">
        <f>VLOOKUP(A118,[1]Sheet1!$A:$D,4,FALSE)</f>
        <v>1.5</v>
      </c>
      <c r="G118">
        <f>VLOOKUP(A118,[2]Sheet1!$A:$D,2,FALSE)</f>
        <v>0</v>
      </c>
      <c r="H118">
        <f>VLOOKUP(A118,[2]Sheet1!$A:$D,3,FALSE)</f>
        <v>-1</v>
      </c>
      <c r="I118">
        <f>VLOOKUP(A118,[2]Sheet1!$A:$D,4,FALSE)</f>
        <v>-1</v>
      </c>
      <c r="J118" t="str">
        <f>VLOOKUP(A118,[3]Sheet1!$A:$C,2,FALSE)</f>
        <v>OBS1</v>
      </c>
      <c r="K118" t="str">
        <f>VLOOKUP(A118,[3]Sheet1!$A:$C,3,FALSE)</f>
        <v>T2</v>
      </c>
    </row>
    <row r="119" spans="1:11" x14ac:dyDescent="0.25">
      <c r="A119" s="2" t="s">
        <v>122</v>
      </c>
      <c r="B119">
        <v>50</v>
      </c>
      <c r="C119" t="s">
        <v>4</v>
      </c>
      <c r="D119" t="str">
        <f>VLOOKUP(A119,[1]Sheet1!$A:$D,2,FALSE)</f>
        <v>GE MEDICAL SYSTEMS</v>
      </c>
      <c r="E119" t="str">
        <f>VLOOKUP(A119,[1]Sheet1!$A:$D,3,FALSE)</f>
        <v>SIGNA HDx</v>
      </c>
      <c r="F119">
        <f>VLOOKUP(A119,[1]Sheet1!$A:$D,4,FALSE)</f>
        <v>1.5</v>
      </c>
      <c r="G119">
        <f>VLOOKUP(A119,[2]Sheet1!$A:$D,2,FALSE)</f>
        <v>1</v>
      </c>
      <c r="H119">
        <f>VLOOKUP(A119,[2]Sheet1!$A:$D,3,FALSE)</f>
        <v>0</v>
      </c>
      <c r="I119">
        <f>VLOOKUP(A119,[2]Sheet1!$A:$D,4,FALSE)</f>
        <v>2</v>
      </c>
      <c r="J119" t="str">
        <f>VLOOKUP(A119,[3]Sheet1!$A:$C,2,FALSE)</f>
        <v>AUTO</v>
      </c>
      <c r="K119" t="str">
        <f>VLOOKUP(A119,[3]Sheet1!$A:$C,3,FALSE)</f>
        <v>ALL</v>
      </c>
    </row>
    <row r="120" spans="1:11" x14ac:dyDescent="0.25">
      <c r="A120" s="2" t="s">
        <v>123</v>
      </c>
      <c r="B120">
        <v>71</v>
      </c>
      <c r="C120" t="s">
        <v>7</v>
      </c>
      <c r="D120" t="str">
        <f>VLOOKUP(A120,[1]Sheet1!$A:$D,2,FALSE)</f>
        <v>Philips Medical Systems</v>
      </c>
      <c r="E120" t="str">
        <f>VLOOKUP(A120,[1]Sheet1!$A:$D,3,FALSE)</f>
        <v>Intera</v>
      </c>
      <c r="F120">
        <f>VLOOKUP(A120,[1]Sheet1!$A:$D,4,FALSE)</f>
        <v>1.5</v>
      </c>
      <c r="G120">
        <f>VLOOKUP(A120,[2]Sheet1!$A:$D,2,FALSE)</f>
        <v>-1</v>
      </c>
      <c r="H120">
        <f>VLOOKUP(A120,[2]Sheet1!$A:$D,3,FALSE)</f>
        <v>-1</v>
      </c>
      <c r="I120">
        <f>VLOOKUP(A120,[2]Sheet1!$A:$D,4,FALSE)</f>
        <v>4</v>
      </c>
      <c r="J120" t="str">
        <f>VLOOKUP(A120,[3]Sheet1!$A:$C,2,FALSE)</f>
        <v>AUTO</v>
      </c>
      <c r="K120" t="str">
        <f>VLOOKUP(A120,[3]Sheet1!$A:$C,3,FALSE)</f>
        <v>ALL</v>
      </c>
    </row>
    <row r="121" spans="1:11" x14ac:dyDescent="0.25">
      <c r="A121" s="2" t="s">
        <v>124</v>
      </c>
      <c r="B121">
        <v>77</v>
      </c>
      <c r="C121" t="s">
        <v>4</v>
      </c>
      <c r="D121" t="str">
        <f>VLOOKUP(A121,[1]Sheet1!$A:$D,2,FALSE)</f>
        <v>SIEMENS</v>
      </c>
      <c r="E121" t="str">
        <f>VLOOKUP(A121,[1]Sheet1!$A:$D,3,FALSE)</f>
        <v>Harmony</v>
      </c>
      <c r="F121">
        <f>VLOOKUP(A121,[1]Sheet1!$A:$D,4,FALSE)</f>
        <v>1</v>
      </c>
      <c r="G121">
        <f>VLOOKUP(A121,[2]Sheet1!$A:$D,2,FALSE)</f>
        <v>-1</v>
      </c>
      <c r="H121">
        <f>VLOOKUP(A121,[2]Sheet1!$A:$D,3,FALSE)</f>
        <v>-1</v>
      </c>
      <c r="I121">
        <f>VLOOKUP(A121,[2]Sheet1!$A:$D,4,FALSE)</f>
        <v>4</v>
      </c>
      <c r="J121" t="str">
        <f>VLOOKUP(A121,[3]Sheet1!$A:$C,2,FALSE)</f>
        <v>AUTO</v>
      </c>
      <c r="K121" t="str">
        <f>VLOOKUP(A121,[3]Sheet1!$A:$C,3,FALSE)</f>
        <v>ALL</v>
      </c>
    </row>
    <row r="122" spans="1:11" x14ac:dyDescent="0.25">
      <c r="A122" s="2" t="s">
        <v>125</v>
      </c>
      <c r="B122">
        <v>69</v>
      </c>
      <c r="C122" t="s">
        <v>4</v>
      </c>
      <c r="D122" t="str">
        <f>VLOOKUP(A122,[1]Sheet1!$A:$D,2,FALSE)</f>
        <v>SIEMENS</v>
      </c>
      <c r="E122" t="str">
        <f>VLOOKUP(A122,[1]Sheet1!$A:$D,3,FALSE)</f>
        <v>Harmony</v>
      </c>
      <c r="F122">
        <f>VLOOKUP(A122,[1]Sheet1!$A:$D,4,FALSE)</f>
        <v>1</v>
      </c>
      <c r="G122">
        <f>VLOOKUP(A122,[2]Sheet1!$A:$D,2,FALSE)</f>
        <v>0</v>
      </c>
      <c r="H122">
        <f>VLOOKUP(A122,[2]Sheet1!$A:$D,3,FALSE)</f>
        <v>-1</v>
      </c>
      <c r="I122">
        <f>VLOOKUP(A122,[2]Sheet1!$A:$D,4,FALSE)</f>
        <v>4</v>
      </c>
      <c r="J122" t="str">
        <f>VLOOKUP(A122,[3]Sheet1!$A:$C,2,FALSE)</f>
        <v>OBS1</v>
      </c>
      <c r="K122" t="str">
        <f>VLOOKUP(A122,[3]Sheet1!$A:$C,3,FALSE)</f>
        <v>FLAIR</v>
      </c>
    </row>
    <row r="123" spans="1:11" x14ac:dyDescent="0.25">
      <c r="A123" s="2" t="s">
        <v>126</v>
      </c>
      <c r="B123">
        <v>40</v>
      </c>
      <c r="C123" t="s">
        <v>4</v>
      </c>
      <c r="D123" t="str">
        <f>VLOOKUP(A123,[1]Sheet1!$A:$D,2,FALSE)</f>
        <v>SIEMENS</v>
      </c>
      <c r="E123" t="str">
        <f>VLOOKUP(A123,[1]Sheet1!$A:$D,3,FALSE)</f>
        <v>MAGNETOM VISION</v>
      </c>
      <c r="F123">
        <f>VLOOKUP(A123,[1]Sheet1!$A:$D,4,FALSE)</f>
        <v>1.5</v>
      </c>
      <c r="G123">
        <f>VLOOKUP(A123,[2]Sheet1!$A:$D,2,FALSE)</f>
        <v>1</v>
      </c>
      <c r="H123">
        <f>VLOOKUP(A123,[2]Sheet1!$A:$D,3,FALSE)</f>
        <v>0</v>
      </c>
      <c r="I123">
        <f>VLOOKUP(A123,[2]Sheet1!$A:$D,4,FALSE)</f>
        <v>2</v>
      </c>
      <c r="J123" t="str">
        <f>VLOOKUP(A123,[3]Sheet1!$A:$C,2,FALSE)</f>
        <v>OBS2</v>
      </c>
      <c r="K123" t="str">
        <f>VLOOKUP(A123,[3]Sheet1!$A:$C,3,FALSE)</f>
        <v>T2</v>
      </c>
    </row>
    <row r="124" spans="1:11" x14ac:dyDescent="0.25">
      <c r="A124" s="2" t="s">
        <v>127</v>
      </c>
      <c r="B124">
        <v>45</v>
      </c>
      <c r="C124" t="s">
        <v>4</v>
      </c>
      <c r="D124" t="str">
        <f>VLOOKUP(A124,[1]Sheet1!$A:$D,2,FALSE)</f>
        <v>SIEMENS</v>
      </c>
      <c r="E124" t="str">
        <f>VLOOKUP(A124,[1]Sheet1!$A:$D,3,FALSE)</f>
        <v>Symphony</v>
      </c>
      <c r="F124">
        <f>VLOOKUP(A124,[1]Sheet1!$A:$D,4,FALSE)</f>
        <v>1.5</v>
      </c>
      <c r="G124">
        <f>VLOOKUP(A124,[2]Sheet1!$A:$D,2,FALSE)</f>
        <v>1</v>
      </c>
      <c r="H124">
        <f>VLOOKUP(A124,[2]Sheet1!$A:$D,3,FALSE)</f>
        <v>1</v>
      </c>
      <c r="I124">
        <f>VLOOKUP(A124,[2]Sheet1!$A:$D,4,FALSE)</f>
        <v>2</v>
      </c>
      <c r="J124" t="str">
        <f>VLOOKUP(A124,[3]Sheet1!$A:$C,2,FALSE)</f>
        <v>OBS2</v>
      </c>
      <c r="K124" t="str">
        <f>VLOOKUP(A124,[3]Sheet1!$A:$C,3,FALSE)</f>
        <v>FLAIR</v>
      </c>
    </row>
    <row r="125" spans="1:11" x14ac:dyDescent="0.25">
      <c r="A125" s="2" t="s">
        <v>128</v>
      </c>
      <c r="B125">
        <v>33</v>
      </c>
      <c r="C125" t="s">
        <v>4</v>
      </c>
      <c r="D125" t="str">
        <f>VLOOKUP(A125,[1]Sheet1!$A:$D,2,FALSE)</f>
        <v>SIEMENS</v>
      </c>
      <c r="E125" t="str">
        <f>VLOOKUP(A125,[1]Sheet1!$A:$D,3,FALSE)</f>
        <v>TrioTim</v>
      </c>
      <c r="F125">
        <f>VLOOKUP(A125,[1]Sheet1!$A:$D,4,FALSE)</f>
        <v>3</v>
      </c>
      <c r="G125">
        <f>VLOOKUP(A125,[2]Sheet1!$A:$D,2,FALSE)</f>
        <v>-1</v>
      </c>
      <c r="H125">
        <f>VLOOKUP(A125,[2]Sheet1!$A:$D,3,FALSE)</f>
        <v>-1</v>
      </c>
      <c r="I125">
        <f>VLOOKUP(A125,[2]Sheet1!$A:$D,4,FALSE)</f>
        <v>3</v>
      </c>
      <c r="J125" t="str">
        <f>VLOOKUP(A125,[3]Sheet1!$A:$C,2,FALSE)</f>
        <v>AUTO</v>
      </c>
      <c r="K125" t="str">
        <f>VLOOKUP(A125,[3]Sheet1!$A:$C,3,FALSE)</f>
        <v>ALL</v>
      </c>
    </row>
    <row r="126" spans="1:11" x14ac:dyDescent="0.25">
      <c r="A126" s="2" t="s">
        <v>129</v>
      </c>
      <c r="B126">
        <v>60</v>
      </c>
      <c r="C126" t="s">
        <v>4</v>
      </c>
      <c r="D126" t="str">
        <f>VLOOKUP(A126,[1]Sheet1!$A:$D,2,FALSE)</f>
        <v>GE MEDICAL SYSTEMS</v>
      </c>
      <c r="E126" t="str">
        <f>VLOOKUP(A126,[1]Sheet1!$A:$D,3,FALSE)</f>
        <v>DISCOVERY MR450</v>
      </c>
      <c r="F126">
        <f>VLOOKUP(A126,[1]Sheet1!$A:$D,4,FALSE)</f>
        <v>1.5</v>
      </c>
      <c r="G126">
        <f>VLOOKUP(A126,[2]Sheet1!$A:$D,2,FALSE)</f>
        <v>-1</v>
      </c>
      <c r="H126">
        <f>VLOOKUP(A126,[2]Sheet1!$A:$D,3,FALSE)</f>
        <v>-1</v>
      </c>
      <c r="I126">
        <f>VLOOKUP(A126,[2]Sheet1!$A:$D,4,FALSE)</f>
        <v>4</v>
      </c>
      <c r="J126" t="str">
        <f>VLOOKUP(A126,[3]Sheet1!$A:$C,2,FALSE)</f>
        <v>OBS1</v>
      </c>
      <c r="K126" t="str">
        <f>VLOOKUP(A126,[3]Sheet1!$A:$C,3,FALSE)</f>
        <v>T2</v>
      </c>
    </row>
    <row r="127" spans="1:11" x14ac:dyDescent="0.25">
      <c r="A127" s="2" t="s">
        <v>130</v>
      </c>
      <c r="B127">
        <v>69</v>
      </c>
      <c r="C127" t="s">
        <v>4</v>
      </c>
      <c r="D127" t="str">
        <f>VLOOKUP(A127,[1]Sheet1!$A:$D,2,FALSE)</f>
        <v>SIEMENS</v>
      </c>
      <c r="E127" t="str">
        <f>VLOOKUP(A127,[1]Sheet1!$A:$D,3,FALSE)</f>
        <v>Aera</v>
      </c>
      <c r="F127">
        <f>VLOOKUP(A127,[1]Sheet1!$A:$D,4,FALSE)</f>
        <v>1.5</v>
      </c>
      <c r="G127">
        <f>VLOOKUP(A127,[2]Sheet1!$A:$D,2,FALSE)</f>
        <v>0</v>
      </c>
      <c r="H127">
        <f>VLOOKUP(A127,[2]Sheet1!$A:$D,3,FALSE)</f>
        <v>-1</v>
      </c>
      <c r="I127">
        <f>VLOOKUP(A127,[2]Sheet1!$A:$D,4,FALSE)</f>
        <v>4</v>
      </c>
      <c r="J127" t="str">
        <f>VLOOKUP(A127,[3]Sheet1!$A:$C,2,FALSE)</f>
        <v>OBS1</v>
      </c>
      <c r="K127" t="str">
        <f>VLOOKUP(A127,[3]Sheet1!$A:$C,3,FALSE)</f>
        <v>T2</v>
      </c>
    </row>
    <row r="128" spans="1:11" x14ac:dyDescent="0.25">
      <c r="A128" s="2" t="s">
        <v>131</v>
      </c>
      <c r="B128">
        <v>58</v>
      </c>
      <c r="C128" t="s">
        <v>7</v>
      </c>
      <c r="D128" t="str">
        <f>VLOOKUP(A128,[1]Sheet1!$A:$D,2,FALSE)</f>
        <v>SIEMENS</v>
      </c>
      <c r="E128" t="str">
        <f>VLOOKUP(A128,[1]Sheet1!$A:$D,3,FALSE)</f>
        <v>Aera</v>
      </c>
      <c r="F128">
        <f>VLOOKUP(A128,[1]Sheet1!$A:$D,4,FALSE)</f>
        <v>1.5</v>
      </c>
      <c r="G128">
        <f>VLOOKUP(A128,[2]Sheet1!$A:$D,2,FALSE)</f>
        <v>0</v>
      </c>
      <c r="H128">
        <f>VLOOKUP(A128,[2]Sheet1!$A:$D,3,FALSE)</f>
        <v>-1</v>
      </c>
      <c r="I128">
        <f>VLOOKUP(A128,[2]Sheet1!$A:$D,4,FALSE)</f>
        <v>4</v>
      </c>
      <c r="J128" t="str">
        <f>VLOOKUP(A128,[3]Sheet1!$A:$C,2,FALSE)</f>
        <v>OBS1</v>
      </c>
      <c r="K128" t="str">
        <f>VLOOKUP(A128,[3]Sheet1!$A:$C,3,FALSE)</f>
        <v>T2</v>
      </c>
    </row>
    <row r="129" spans="1:11" x14ac:dyDescent="0.25">
      <c r="A129" s="2" t="s">
        <v>132</v>
      </c>
      <c r="B129">
        <v>26</v>
      </c>
      <c r="C129" t="s">
        <v>4</v>
      </c>
      <c r="D129" t="str">
        <f>VLOOKUP(A129,[1]Sheet1!$A:$D,2,FALSE)</f>
        <v>GE MEDICAL SYSTEMS</v>
      </c>
      <c r="E129" t="str">
        <f>VLOOKUP(A129,[1]Sheet1!$A:$D,3,FALSE)</f>
        <v>DISCOVERY MR450</v>
      </c>
      <c r="F129">
        <f>VLOOKUP(A129,[1]Sheet1!$A:$D,4,FALSE)</f>
        <v>1.5</v>
      </c>
      <c r="G129">
        <f>VLOOKUP(A129,[2]Sheet1!$A:$D,2,FALSE)</f>
        <v>1</v>
      </c>
      <c r="H129">
        <f>VLOOKUP(A129,[2]Sheet1!$A:$D,3,FALSE)</f>
        <v>0</v>
      </c>
      <c r="I129">
        <f>VLOOKUP(A129,[2]Sheet1!$A:$D,4,FALSE)</f>
        <v>2</v>
      </c>
      <c r="J129" t="str">
        <f>VLOOKUP(A129,[3]Sheet1!$A:$C,2,FALSE)</f>
        <v>OBS2</v>
      </c>
      <c r="K129" t="str">
        <f>VLOOKUP(A129,[3]Sheet1!$A:$C,3,FALSE)</f>
        <v>FLAIR</v>
      </c>
    </row>
    <row r="130" spans="1:11" x14ac:dyDescent="0.25">
      <c r="A130" s="2" t="s">
        <v>133</v>
      </c>
      <c r="B130">
        <v>69</v>
      </c>
      <c r="C130" t="s">
        <v>7</v>
      </c>
      <c r="D130" t="str">
        <f>VLOOKUP(A130,[1]Sheet1!$A:$D,2,FALSE)</f>
        <v>SIEMENS</v>
      </c>
      <c r="E130" t="str">
        <f>VLOOKUP(A130,[1]Sheet1!$A:$D,3,FALSE)</f>
        <v>Avanto</v>
      </c>
      <c r="F130">
        <f>VLOOKUP(A130,[1]Sheet1!$A:$D,4,FALSE)</f>
        <v>1.5</v>
      </c>
      <c r="G130">
        <f>VLOOKUP(A130,[2]Sheet1!$A:$D,2,FALSE)</f>
        <v>-1</v>
      </c>
      <c r="H130">
        <f>VLOOKUP(A130,[2]Sheet1!$A:$D,3,FALSE)</f>
        <v>-1</v>
      </c>
      <c r="I130">
        <f>VLOOKUP(A130,[2]Sheet1!$A:$D,4,FALSE)</f>
        <v>4</v>
      </c>
      <c r="J130" t="str">
        <f>VLOOKUP(A130,[3]Sheet1!$A:$C,2,FALSE)</f>
        <v>AUTO</v>
      </c>
      <c r="K130" t="str">
        <f>VLOOKUP(A130,[3]Sheet1!$A:$C,3,FALSE)</f>
        <v>ALL</v>
      </c>
    </row>
    <row r="131" spans="1:11" x14ac:dyDescent="0.25">
      <c r="A131" s="2" t="s">
        <v>134</v>
      </c>
      <c r="B131">
        <v>60</v>
      </c>
      <c r="C131" t="s">
        <v>7</v>
      </c>
      <c r="D131" t="str">
        <f>VLOOKUP(A131,[1]Sheet1!$A:$D,2,FALSE)</f>
        <v>Philips Medical Systems</v>
      </c>
      <c r="E131" t="str">
        <f>VLOOKUP(A131,[1]Sheet1!$A:$D,3,FALSE)</f>
        <v>Intera</v>
      </c>
      <c r="F131">
        <f>VLOOKUP(A131,[1]Sheet1!$A:$D,4,FALSE)</f>
        <v>1.5</v>
      </c>
      <c r="G131">
        <f>VLOOKUP(A131,[2]Sheet1!$A:$D,2,FALSE)</f>
        <v>-1</v>
      </c>
      <c r="H131">
        <f>VLOOKUP(A131,[2]Sheet1!$A:$D,3,FALSE)</f>
        <v>-1</v>
      </c>
      <c r="I131">
        <f>VLOOKUP(A131,[2]Sheet1!$A:$D,4,FALSE)</f>
        <v>4</v>
      </c>
      <c r="J131" t="str">
        <f>VLOOKUP(A131,[3]Sheet1!$A:$C,2,FALSE)</f>
        <v>AUTO</v>
      </c>
      <c r="K131" t="str">
        <f>VLOOKUP(A131,[3]Sheet1!$A:$C,3,FALSE)</f>
        <v>ALL</v>
      </c>
    </row>
    <row r="132" spans="1:11" x14ac:dyDescent="0.25">
      <c r="A132" s="2" t="s">
        <v>135</v>
      </c>
      <c r="B132">
        <v>60</v>
      </c>
      <c r="C132" t="s">
        <v>4</v>
      </c>
      <c r="D132" t="str">
        <f>VLOOKUP(A132,[1]Sheet1!$A:$D,2,FALSE)</f>
        <v>Philips Medical Systems</v>
      </c>
      <c r="E132" t="str">
        <f>VLOOKUP(A132,[1]Sheet1!$A:$D,3,FALSE)</f>
        <v>Intera</v>
      </c>
      <c r="F132">
        <f>VLOOKUP(A132,[1]Sheet1!$A:$D,4,FALSE)</f>
        <v>1.5</v>
      </c>
      <c r="G132">
        <f>VLOOKUP(A132,[2]Sheet1!$A:$D,2,FALSE)</f>
        <v>0</v>
      </c>
      <c r="H132">
        <f>VLOOKUP(A132,[2]Sheet1!$A:$D,3,FALSE)</f>
        <v>-1</v>
      </c>
      <c r="I132">
        <f>VLOOKUP(A132,[2]Sheet1!$A:$D,4,FALSE)</f>
        <v>4</v>
      </c>
      <c r="J132" t="str">
        <f>VLOOKUP(A132,[3]Sheet1!$A:$C,2,FALSE)</f>
        <v>OBS1</v>
      </c>
      <c r="K132" t="str">
        <f>VLOOKUP(A132,[3]Sheet1!$A:$C,3,FALSE)</f>
        <v>T2</v>
      </c>
    </row>
    <row r="133" spans="1:11" x14ac:dyDescent="0.25">
      <c r="A133" s="2" t="s">
        <v>136</v>
      </c>
      <c r="B133">
        <v>62</v>
      </c>
      <c r="C133" t="s">
        <v>4</v>
      </c>
      <c r="D133" t="str">
        <f>VLOOKUP(A133,[1]Sheet1!$A:$D,2,FALSE)</f>
        <v>Philips Medical Systems</v>
      </c>
      <c r="E133" t="str">
        <f>VLOOKUP(A133,[1]Sheet1!$A:$D,3,FALSE)</f>
        <v>Achieva</v>
      </c>
      <c r="F133">
        <f>VLOOKUP(A133,[1]Sheet1!$A:$D,4,FALSE)</f>
        <v>1.5</v>
      </c>
      <c r="G133">
        <f>VLOOKUP(A133,[2]Sheet1!$A:$D,2,FALSE)</f>
        <v>0</v>
      </c>
      <c r="H133">
        <f>VLOOKUP(A133,[2]Sheet1!$A:$D,3,FALSE)</f>
        <v>-1</v>
      </c>
      <c r="I133">
        <f>VLOOKUP(A133,[2]Sheet1!$A:$D,4,FALSE)</f>
        <v>4</v>
      </c>
      <c r="J133" t="str">
        <f>VLOOKUP(A133,[3]Sheet1!$A:$C,2,FALSE)</f>
        <v>OBS1</v>
      </c>
      <c r="K133" t="str">
        <f>VLOOKUP(A133,[3]Sheet1!$A:$C,3,FALSE)</f>
        <v>T2</v>
      </c>
    </row>
    <row r="134" spans="1:11" x14ac:dyDescent="0.25">
      <c r="A134" s="2" t="s">
        <v>137</v>
      </c>
      <c r="B134">
        <v>50</v>
      </c>
      <c r="C134" t="s">
        <v>7</v>
      </c>
      <c r="D134" t="str">
        <f>VLOOKUP(A134,[1]Sheet1!$A:$D,2,FALSE)</f>
        <v>SIEMENS</v>
      </c>
      <c r="E134" t="str">
        <f>VLOOKUP(A134,[1]Sheet1!$A:$D,3,FALSE)</f>
        <v>Harmony</v>
      </c>
      <c r="F134">
        <f>VLOOKUP(A134,[1]Sheet1!$A:$D,4,FALSE)</f>
        <v>1</v>
      </c>
      <c r="G134">
        <f>VLOOKUP(A134,[2]Sheet1!$A:$D,2,FALSE)</f>
        <v>1</v>
      </c>
      <c r="H134">
        <f>VLOOKUP(A134,[2]Sheet1!$A:$D,3,FALSE)</f>
        <v>1</v>
      </c>
      <c r="I134">
        <f>VLOOKUP(A134,[2]Sheet1!$A:$D,4,FALSE)</f>
        <v>2</v>
      </c>
      <c r="J134" t="str">
        <f>VLOOKUP(A134,[3]Sheet1!$A:$C,2,FALSE)</f>
        <v>OBS1</v>
      </c>
      <c r="K134" t="str">
        <f>VLOOKUP(A134,[3]Sheet1!$A:$C,3,FALSE)</f>
        <v>FLAIR</v>
      </c>
    </row>
    <row r="135" spans="1:11" x14ac:dyDescent="0.25">
      <c r="A135" s="2" t="s">
        <v>138</v>
      </c>
      <c r="B135">
        <v>69</v>
      </c>
      <c r="C135" t="s">
        <v>7</v>
      </c>
      <c r="D135" t="str">
        <f>VLOOKUP(A135,[1]Sheet1!$A:$D,2,FALSE)</f>
        <v>SIEMENS</v>
      </c>
      <c r="E135" t="str">
        <f>VLOOKUP(A135,[1]Sheet1!$A:$D,3,FALSE)</f>
        <v>Aera</v>
      </c>
      <c r="F135">
        <f>VLOOKUP(A135,[1]Sheet1!$A:$D,4,FALSE)</f>
        <v>1.5</v>
      </c>
      <c r="G135">
        <f>VLOOKUP(A135,[2]Sheet1!$A:$D,2,FALSE)</f>
        <v>0</v>
      </c>
      <c r="H135">
        <f>VLOOKUP(A135,[2]Sheet1!$A:$D,3,FALSE)</f>
        <v>-1</v>
      </c>
      <c r="I135">
        <f>VLOOKUP(A135,[2]Sheet1!$A:$D,4,FALSE)</f>
        <v>4</v>
      </c>
      <c r="J135" t="str">
        <f>VLOOKUP(A135,[3]Sheet1!$A:$C,2,FALSE)</f>
        <v>AUTO</v>
      </c>
      <c r="K135" t="str">
        <f>VLOOKUP(A135,[3]Sheet1!$A:$C,3,FALSE)</f>
        <v>ALL</v>
      </c>
    </row>
    <row r="136" spans="1:11" x14ac:dyDescent="0.25">
      <c r="A136" s="2" t="s">
        <v>139</v>
      </c>
      <c r="B136">
        <v>63</v>
      </c>
      <c r="C136" t="s">
        <v>4</v>
      </c>
      <c r="D136" t="str">
        <f>VLOOKUP(A136,[1]Sheet1!$A:$D,2,FALSE)</f>
        <v>GE MEDICAL SYSTEMS</v>
      </c>
      <c r="E136" t="str">
        <f>VLOOKUP(A136,[1]Sheet1!$A:$D,3,FALSE)</f>
        <v>DISCOVERY MR450</v>
      </c>
      <c r="F136">
        <f>VLOOKUP(A136,[1]Sheet1!$A:$D,4,FALSE)</f>
        <v>1.5</v>
      </c>
      <c r="G136">
        <f>VLOOKUP(A136,[2]Sheet1!$A:$D,2,FALSE)</f>
        <v>-1</v>
      </c>
      <c r="H136">
        <f>VLOOKUP(A136,[2]Sheet1!$A:$D,3,FALSE)</f>
        <v>-1</v>
      </c>
      <c r="I136">
        <f>VLOOKUP(A136,[2]Sheet1!$A:$D,4,FALSE)</f>
        <v>4</v>
      </c>
      <c r="J136" t="str">
        <f>VLOOKUP(A136,[3]Sheet1!$A:$C,2,FALSE)</f>
        <v>AUTO</v>
      </c>
      <c r="K136" t="str">
        <f>VLOOKUP(A136,[3]Sheet1!$A:$C,3,FALSE)</f>
        <v>ALL</v>
      </c>
    </row>
    <row r="137" spans="1:11" x14ac:dyDescent="0.25">
      <c r="A137" s="2" t="s">
        <v>140</v>
      </c>
      <c r="B137">
        <v>56</v>
      </c>
      <c r="C137" t="s">
        <v>4</v>
      </c>
      <c r="D137" t="str">
        <f>VLOOKUP(A137,[1]Sheet1!$A:$D,2,FALSE)</f>
        <v>GE MEDICAL SYSTEMS</v>
      </c>
      <c r="E137" t="str">
        <f>VLOOKUP(A137,[1]Sheet1!$A:$D,3,FALSE)</f>
        <v>Optima MR450w</v>
      </c>
      <c r="F137">
        <f>VLOOKUP(A137,[1]Sheet1!$A:$D,4,FALSE)</f>
        <v>1.5</v>
      </c>
      <c r="G137">
        <f>VLOOKUP(A137,[2]Sheet1!$A:$D,2,FALSE)</f>
        <v>-1</v>
      </c>
      <c r="H137">
        <f>VLOOKUP(A137,[2]Sheet1!$A:$D,3,FALSE)</f>
        <v>-1</v>
      </c>
      <c r="I137">
        <f>VLOOKUP(A137,[2]Sheet1!$A:$D,4,FALSE)</f>
        <v>4</v>
      </c>
      <c r="J137" t="str">
        <f>VLOOKUP(A137,[3]Sheet1!$A:$C,2,FALSE)</f>
        <v>AUTO</v>
      </c>
      <c r="K137" t="str">
        <f>VLOOKUP(A137,[3]Sheet1!$A:$C,3,FALSE)</f>
        <v>ALL</v>
      </c>
    </row>
    <row r="138" spans="1:11" x14ac:dyDescent="0.25">
      <c r="A138" s="2" t="s">
        <v>141</v>
      </c>
      <c r="B138">
        <v>-1</v>
      </c>
      <c r="C138" t="s">
        <v>4</v>
      </c>
      <c r="D138" t="str">
        <f>VLOOKUP(A138,[1]Sheet1!$A:$D,2,FALSE)</f>
        <v>Philips Medical Systems</v>
      </c>
      <c r="E138" t="str">
        <f>VLOOKUP(A138,[1]Sheet1!$A:$D,3,FALSE)</f>
        <v>Achieva</v>
      </c>
      <c r="F138">
        <f>VLOOKUP(A138,[1]Sheet1!$A:$D,4,FALSE)</f>
        <v>1.5</v>
      </c>
      <c r="G138">
        <f>VLOOKUP(A138,[2]Sheet1!$A:$D,2,FALSE)</f>
        <v>1</v>
      </c>
      <c r="H138">
        <f>VLOOKUP(A138,[2]Sheet1!$A:$D,3,FALSE)</f>
        <v>1</v>
      </c>
      <c r="I138">
        <f>VLOOKUP(A138,[2]Sheet1!$A:$D,4,FALSE)</f>
        <v>2</v>
      </c>
      <c r="J138" t="str">
        <f>VLOOKUP(A138,[3]Sheet1!$A:$C,2,FALSE)</f>
        <v>OBS1</v>
      </c>
      <c r="K138" t="str">
        <f>VLOOKUP(A138,[3]Sheet1!$A:$C,3,FALSE)</f>
        <v>FLAIR</v>
      </c>
    </row>
    <row r="139" spans="1:11" x14ac:dyDescent="0.25">
      <c r="A139" s="2" t="s">
        <v>142</v>
      </c>
      <c r="B139">
        <v>81</v>
      </c>
      <c r="C139" t="s">
        <v>7</v>
      </c>
      <c r="D139" t="str">
        <f>VLOOKUP(A139,[1]Sheet1!$A:$D,2,FALSE)</f>
        <v>SIEMENS</v>
      </c>
      <c r="E139" t="str">
        <f>VLOOKUP(A139,[1]Sheet1!$A:$D,3,FALSE)</f>
        <v>Avanto</v>
      </c>
      <c r="F139">
        <f>VLOOKUP(A139,[1]Sheet1!$A:$D,4,FALSE)</f>
        <v>1.5</v>
      </c>
      <c r="G139">
        <f>VLOOKUP(A139,[2]Sheet1!$A:$D,2,FALSE)</f>
        <v>-1</v>
      </c>
      <c r="H139">
        <f>VLOOKUP(A139,[2]Sheet1!$A:$D,3,FALSE)</f>
        <v>-1</v>
      </c>
      <c r="I139">
        <f>VLOOKUP(A139,[2]Sheet1!$A:$D,4,FALSE)</f>
        <v>4</v>
      </c>
      <c r="J139" t="str">
        <f>VLOOKUP(A139,[3]Sheet1!$A:$C,2,FALSE)</f>
        <v>OBS1</v>
      </c>
      <c r="K139" t="str">
        <f>VLOOKUP(A139,[3]Sheet1!$A:$C,3,FALSE)</f>
        <v>FLAIR</v>
      </c>
    </row>
    <row r="140" spans="1:11" x14ac:dyDescent="0.25">
      <c r="A140" s="2" t="s">
        <v>143</v>
      </c>
      <c r="B140">
        <v>81</v>
      </c>
      <c r="C140" t="s">
        <v>4</v>
      </c>
      <c r="D140" t="str">
        <f>VLOOKUP(A140,[1]Sheet1!$A:$D,2,FALSE)</f>
        <v>SIEMENS</v>
      </c>
      <c r="E140" t="str">
        <f>VLOOKUP(A140,[1]Sheet1!$A:$D,3,FALSE)</f>
        <v>Avanto</v>
      </c>
      <c r="F140">
        <f>VLOOKUP(A140,[1]Sheet1!$A:$D,4,FALSE)</f>
        <v>1.5</v>
      </c>
      <c r="G140">
        <f>VLOOKUP(A140,[2]Sheet1!$A:$D,2,FALSE)</f>
        <v>-1</v>
      </c>
      <c r="H140">
        <f>VLOOKUP(A140,[2]Sheet1!$A:$D,3,FALSE)</f>
        <v>-1</v>
      </c>
      <c r="I140">
        <f>VLOOKUP(A140,[2]Sheet1!$A:$D,4,FALSE)</f>
        <v>4</v>
      </c>
      <c r="J140" t="str">
        <f>VLOOKUP(A140,[3]Sheet1!$A:$C,2,FALSE)</f>
        <v>AUTO</v>
      </c>
      <c r="K140" t="str">
        <f>VLOOKUP(A140,[3]Sheet1!$A:$C,3,FALSE)</f>
        <v>ALL</v>
      </c>
    </row>
    <row r="141" spans="1:11" x14ac:dyDescent="0.25">
      <c r="A141" s="2" t="s">
        <v>144</v>
      </c>
      <c r="B141">
        <v>56</v>
      </c>
      <c r="C141" t="s">
        <v>4</v>
      </c>
      <c r="D141" t="str">
        <f>VLOOKUP(A141,[1]Sheet1!$A:$D,2,FALSE)</f>
        <v>GE MEDICAL SYSTEMS</v>
      </c>
      <c r="E141" t="str">
        <f>VLOOKUP(A141,[1]Sheet1!$A:$D,3,FALSE)</f>
        <v>GENESIS_SIGNA</v>
      </c>
      <c r="F141">
        <f>VLOOKUP(A141,[1]Sheet1!$A:$D,4,FALSE)</f>
        <v>1</v>
      </c>
      <c r="G141">
        <f>VLOOKUP(A141,[2]Sheet1!$A:$D,2,FALSE)</f>
        <v>-1</v>
      </c>
      <c r="H141">
        <f>VLOOKUP(A141,[2]Sheet1!$A:$D,3,FALSE)</f>
        <v>-1</v>
      </c>
      <c r="I141">
        <f>VLOOKUP(A141,[2]Sheet1!$A:$D,4,FALSE)</f>
        <v>4</v>
      </c>
      <c r="J141" t="str">
        <f>VLOOKUP(A141,[3]Sheet1!$A:$C,2,FALSE)</f>
        <v>AUTO</v>
      </c>
      <c r="K141" t="str">
        <f>VLOOKUP(A141,[3]Sheet1!$A:$C,3,FALSE)</f>
        <v>ALL</v>
      </c>
    </row>
    <row r="142" spans="1:11" x14ac:dyDescent="0.25">
      <c r="A142" s="2" t="s">
        <v>145</v>
      </c>
      <c r="B142">
        <v>66</v>
      </c>
      <c r="C142" t="s">
        <v>4</v>
      </c>
      <c r="D142" t="str">
        <f>VLOOKUP(A142,[1]Sheet1!$A:$D,2,FALSE)</f>
        <v>SIEMENS</v>
      </c>
      <c r="E142" t="str">
        <f>VLOOKUP(A142,[1]Sheet1!$A:$D,3,FALSE)</f>
        <v>Avanto</v>
      </c>
      <c r="F142">
        <f>VLOOKUP(A142,[1]Sheet1!$A:$D,4,FALSE)</f>
        <v>1.5</v>
      </c>
      <c r="G142">
        <f>VLOOKUP(A142,[2]Sheet1!$A:$D,2,FALSE)</f>
        <v>0</v>
      </c>
      <c r="H142">
        <f>VLOOKUP(A142,[2]Sheet1!$A:$D,3,FALSE)</f>
        <v>-1</v>
      </c>
      <c r="I142">
        <f>VLOOKUP(A142,[2]Sheet1!$A:$D,4,FALSE)</f>
        <v>4</v>
      </c>
      <c r="J142" t="str">
        <f>VLOOKUP(A142,[3]Sheet1!$A:$C,2,FALSE)</f>
        <v>OBS1</v>
      </c>
      <c r="K142" t="str">
        <f>VLOOKUP(A142,[3]Sheet1!$A:$C,3,FALSE)</f>
        <v>T2</v>
      </c>
    </row>
    <row r="143" spans="1:11" x14ac:dyDescent="0.25">
      <c r="A143" s="2" t="s">
        <v>146</v>
      </c>
      <c r="B143">
        <v>51</v>
      </c>
      <c r="C143" t="s">
        <v>4</v>
      </c>
      <c r="D143" t="str">
        <f>VLOOKUP(A143,[1]Sheet1!$A:$D,2,FALSE)</f>
        <v>GE MEDICAL SYSTEMS</v>
      </c>
      <c r="E143" t="str">
        <f>VLOOKUP(A143,[1]Sheet1!$A:$D,3,FALSE)</f>
        <v>Signa HDxt</v>
      </c>
      <c r="F143">
        <f>VLOOKUP(A143,[1]Sheet1!$A:$D,4,FALSE)</f>
        <v>1.5</v>
      </c>
      <c r="G143">
        <f>VLOOKUP(A143,[2]Sheet1!$A:$D,2,FALSE)</f>
        <v>-1</v>
      </c>
      <c r="H143">
        <f>VLOOKUP(A143,[2]Sheet1!$A:$D,3,FALSE)</f>
        <v>-1</v>
      </c>
      <c r="I143">
        <f>VLOOKUP(A143,[2]Sheet1!$A:$D,4,FALSE)</f>
        <v>4</v>
      </c>
      <c r="J143" t="str">
        <f>VLOOKUP(A143,[3]Sheet1!$A:$C,2,FALSE)</f>
        <v>AUTO</v>
      </c>
      <c r="K143" t="str">
        <f>VLOOKUP(A143,[3]Sheet1!$A:$C,3,FALSE)</f>
        <v>ALL</v>
      </c>
    </row>
    <row r="144" spans="1:11" x14ac:dyDescent="0.25">
      <c r="A144" s="2" t="s">
        <v>147</v>
      </c>
      <c r="B144">
        <v>21</v>
      </c>
      <c r="C144" t="s">
        <v>7</v>
      </c>
      <c r="D144" t="str">
        <f>VLOOKUP(A144,[1]Sheet1!$A:$D,2,FALSE)</f>
        <v>SIEMENS</v>
      </c>
      <c r="E144" t="str">
        <f>VLOOKUP(A144,[1]Sheet1!$A:$D,3,FALSE)</f>
        <v>Avanto</v>
      </c>
      <c r="F144">
        <f>VLOOKUP(A144,[1]Sheet1!$A:$D,4,FALSE)</f>
        <v>1.5</v>
      </c>
      <c r="G144">
        <f>VLOOKUP(A144,[2]Sheet1!$A:$D,2,FALSE)</f>
        <v>1</v>
      </c>
      <c r="H144">
        <f>VLOOKUP(A144,[2]Sheet1!$A:$D,3,FALSE)</f>
        <v>1</v>
      </c>
      <c r="I144">
        <f>VLOOKUP(A144,[2]Sheet1!$A:$D,4,FALSE)</f>
        <v>2</v>
      </c>
      <c r="J144" t="str">
        <f>VLOOKUP(A144,[3]Sheet1!$A:$C,2,FALSE)</f>
        <v>AUTO</v>
      </c>
      <c r="K144" t="str">
        <f>VLOOKUP(A144,[3]Sheet1!$A:$C,3,FALSE)</f>
        <v>ALL</v>
      </c>
    </row>
    <row r="145" spans="1:11" x14ac:dyDescent="0.25">
      <c r="A145" s="2" t="s">
        <v>148</v>
      </c>
      <c r="B145">
        <v>84</v>
      </c>
      <c r="C145" t="s">
        <v>4</v>
      </c>
      <c r="D145" t="str">
        <f>VLOOKUP(A145,[1]Sheet1!$A:$D,2,FALSE)</f>
        <v>GE MEDICAL SYSTEMS</v>
      </c>
      <c r="E145" t="str">
        <f>VLOOKUP(A145,[1]Sheet1!$A:$D,3,FALSE)</f>
        <v>DISCOVERY MR450</v>
      </c>
      <c r="F145">
        <f>VLOOKUP(A145,[1]Sheet1!$A:$D,4,FALSE)</f>
        <v>1.5</v>
      </c>
      <c r="G145">
        <f>VLOOKUP(A145,[2]Sheet1!$A:$D,2,FALSE)</f>
        <v>0</v>
      </c>
      <c r="H145">
        <f>VLOOKUP(A145,[2]Sheet1!$A:$D,3,FALSE)</f>
        <v>0</v>
      </c>
      <c r="I145">
        <f>VLOOKUP(A145,[2]Sheet1!$A:$D,4,FALSE)</f>
        <v>4</v>
      </c>
      <c r="J145" t="str">
        <f>VLOOKUP(A145,[3]Sheet1!$A:$C,2,FALSE)</f>
        <v>OBS1</v>
      </c>
      <c r="K145" t="str">
        <f>VLOOKUP(A145,[3]Sheet1!$A:$C,3,FALSE)</f>
        <v>T2</v>
      </c>
    </row>
    <row r="146" spans="1:11" x14ac:dyDescent="0.25">
      <c r="A146" s="2" t="s">
        <v>149</v>
      </c>
      <c r="B146">
        <v>51</v>
      </c>
      <c r="C146" t="s">
        <v>4</v>
      </c>
      <c r="D146" t="str">
        <f>VLOOKUP(A146,[1]Sheet1!$A:$D,2,FALSE)</f>
        <v>Philips Medical Systems</v>
      </c>
      <c r="E146" t="str">
        <f>VLOOKUP(A146,[1]Sheet1!$A:$D,3,FALSE)</f>
        <v>Achieva</v>
      </c>
      <c r="F146">
        <f>VLOOKUP(A146,[1]Sheet1!$A:$D,4,FALSE)</f>
        <v>1.5</v>
      </c>
      <c r="G146">
        <f>VLOOKUP(A146,[2]Sheet1!$A:$D,2,FALSE)</f>
        <v>1</v>
      </c>
      <c r="H146">
        <f>VLOOKUP(A146,[2]Sheet1!$A:$D,3,FALSE)</f>
        <v>0</v>
      </c>
      <c r="I146">
        <f>VLOOKUP(A146,[2]Sheet1!$A:$D,4,FALSE)</f>
        <v>2</v>
      </c>
      <c r="J146" t="str">
        <f>VLOOKUP(A146,[3]Sheet1!$A:$C,2,FALSE)</f>
        <v>AUTO</v>
      </c>
      <c r="K146" t="str">
        <f>VLOOKUP(A146,[3]Sheet1!$A:$C,3,FALSE)</f>
        <v>ALL</v>
      </c>
    </row>
    <row r="147" spans="1:11" x14ac:dyDescent="0.25">
      <c r="A147" s="2" t="s">
        <v>150</v>
      </c>
      <c r="B147">
        <v>75</v>
      </c>
      <c r="C147" t="s">
        <v>4</v>
      </c>
      <c r="D147" t="str">
        <f>VLOOKUP(A147,[1]Sheet1!$A:$D,2,FALSE)</f>
        <v>GE MEDICAL SYSTEMS</v>
      </c>
      <c r="E147" t="str">
        <f>VLOOKUP(A147,[1]Sheet1!$A:$D,3,FALSE)</f>
        <v>DISCOVERY MR750</v>
      </c>
      <c r="F147">
        <f>VLOOKUP(A147,[1]Sheet1!$A:$D,4,FALSE)</f>
        <v>3</v>
      </c>
      <c r="G147">
        <f>VLOOKUP(A147,[2]Sheet1!$A:$D,2,FALSE)</f>
        <v>1</v>
      </c>
      <c r="H147">
        <f>VLOOKUP(A147,[2]Sheet1!$A:$D,3,FALSE)</f>
        <v>1</v>
      </c>
      <c r="I147">
        <f>VLOOKUP(A147,[2]Sheet1!$A:$D,4,FALSE)</f>
        <v>3</v>
      </c>
      <c r="J147" t="str">
        <f>VLOOKUP(A147,[3]Sheet1!$A:$C,2,FALSE)</f>
        <v>OBS1</v>
      </c>
      <c r="K147" t="str">
        <f>VLOOKUP(A147,[3]Sheet1!$A:$C,3,FALSE)</f>
        <v>FLAIR</v>
      </c>
    </row>
    <row r="148" spans="1:11" x14ac:dyDescent="0.25">
      <c r="A148" s="2" t="s">
        <v>151</v>
      </c>
      <c r="B148">
        <v>58</v>
      </c>
      <c r="C148" t="s">
        <v>4</v>
      </c>
      <c r="D148" t="str">
        <f>VLOOKUP(A148,[1]Sheet1!$A:$D,2,FALSE)</f>
        <v>SIEMENS</v>
      </c>
      <c r="E148" t="str">
        <f>VLOOKUP(A148,[1]Sheet1!$A:$D,3,FALSE)</f>
        <v>Avanto</v>
      </c>
      <c r="F148">
        <f>VLOOKUP(A148,[1]Sheet1!$A:$D,4,FALSE)</f>
        <v>1.5</v>
      </c>
      <c r="G148">
        <f>VLOOKUP(A148,[2]Sheet1!$A:$D,2,FALSE)</f>
        <v>-1</v>
      </c>
      <c r="H148">
        <f>VLOOKUP(A148,[2]Sheet1!$A:$D,3,FALSE)</f>
        <v>-1</v>
      </c>
      <c r="I148">
        <f>VLOOKUP(A148,[2]Sheet1!$A:$D,4,FALSE)</f>
        <v>4</v>
      </c>
      <c r="J148" t="str">
        <f>VLOOKUP(A148,[3]Sheet1!$A:$C,2,FALSE)</f>
        <v>AUTO</v>
      </c>
      <c r="K148" t="str">
        <f>VLOOKUP(A148,[3]Sheet1!$A:$C,3,FALSE)</f>
        <v>ALL</v>
      </c>
    </row>
    <row r="149" spans="1:11" x14ac:dyDescent="0.25">
      <c r="A149" s="2" t="s">
        <v>152</v>
      </c>
      <c r="B149">
        <v>37</v>
      </c>
      <c r="C149" t="s">
        <v>7</v>
      </c>
      <c r="D149" t="str">
        <f>VLOOKUP(A149,[1]Sheet1!$A:$D,2,FALSE)</f>
        <v>GE MEDICAL SYSTEMS</v>
      </c>
      <c r="E149" t="str">
        <f>VLOOKUP(A149,[1]Sheet1!$A:$D,3,FALSE)</f>
        <v>DISCOVERY MR750</v>
      </c>
      <c r="F149">
        <f>VLOOKUP(A149,[1]Sheet1!$A:$D,4,FALSE)</f>
        <v>3</v>
      </c>
      <c r="G149">
        <f>VLOOKUP(A149,[2]Sheet1!$A:$D,2,FALSE)</f>
        <v>-1</v>
      </c>
      <c r="H149">
        <f>VLOOKUP(A149,[2]Sheet1!$A:$D,3,FALSE)</f>
        <v>-1</v>
      </c>
      <c r="I149">
        <f>VLOOKUP(A149,[2]Sheet1!$A:$D,4,FALSE)</f>
        <v>4</v>
      </c>
      <c r="J149" t="str">
        <f>VLOOKUP(A149,[3]Sheet1!$A:$C,2,FALSE)</f>
        <v>AUTO</v>
      </c>
      <c r="K149" t="str">
        <f>VLOOKUP(A149,[3]Sheet1!$A:$C,3,FALSE)</f>
        <v>ALL</v>
      </c>
    </row>
    <row r="150" spans="1:11" x14ac:dyDescent="0.25">
      <c r="A150" s="2" t="s">
        <v>153</v>
      </c>
      <c r="B150">
        <v>62</v>
      </c>
      <c r="C150" t="s">
        <v>7</v>
      </c>
      <c r="D150" t="str">
        <f>VLOOKUP(A150,[1]Sheet1!$A:$D,2,FALSE)</f>
        <v>GE MEDICAL SYSTEMS</v>
      </c>
      <c r="E150" t="str">
        <f>VLOOKUP(A150,[1]Sheet1!$A:$D,3,FALSE)</f>
        <v>DISCOVERY MR750</v>
      </c>
      <c r="F150">
        <f>VLOOKUP(A150,[1]Sheet1!$A:$D,4,FALSE)</f>
        <v>3</v>
      </c>
      <c r="G150">
        <f>VLOOKUP(A150,[2]Sheet1!$A:$D,2,FALSE)</f>
        <v>-1</v>
      </c>
      <c r="H150">
        <f>VLOOKUP(A150,[2]Sheet1!$A:$D,3,FALSE)</f>
        <v>-1</v>
      </c>
      <c r="I150">
        <f>VLOOKUP(A150,[2]Sheet1!$A:$D,4,FALSE)</f>
        <v>4</v>
      </c>
      <c r="J150" t="str">
        <f>VLOOKUP(A150,[3]Sheet1!$A:$C,2,FALSE)</f>
        <v>AUTO</v>
      </c>
      <c r="K150" t="str">
        <f>VLOOKUP(A150,[3]Sheet1!$A:$C,3,FALSE)</f>
        <v>ALL</v>
      </c>
    </row>
    <row r="151" spans="1:11" x14ac:dyDescent="0.25">
      <c r="A151" s="2" t="s">
        <v>154</v>
      </c>
      <c r="B151">
        <v>59</v>
      </c>
      <c r="C151" t="s">
        <v>4</v>
      </c>
      <c r="D151" t="str">
        <f>VLOOKUP(A151,[1]Sheet1!$A:$D,2,FALSE)</f>
        <v>Philips Medical Systems</v>
      </c>
      <c r="E151" t="str">
        <f>VLOOKUP(A151,[1]Sheet1!$A:$D,3,FALSE)</f>
        <v>Intera</v>
      </c>
      <c r="F151">
        <f>VLOOKUP(A151,[1]Sheet1!$A:$D,4,FALSE)</f>
        <v>1</v>
      </c>
      <c r="G151">
        <f>VLOOKUP(A151,[2]Sheet1!$A:$D,2,FALSE)</f>
        <v>-1</v>
      </c>
      <c r="H151">
        <f>VLOOKUP(A151,[2]Sheet1!$A:$D,3,FALSE)</f>
        <v>-1</v>
      </c>
      <c r="I151">
        <f>VLOOKUP(A151,[2]Sheet1!$A:$D,4,FALSE)</f>
        <v>4</v>
      </c>
      <c r="J151" t="str">
        <f>VLOOKUP(A151,[3]Sheet1!$A:$C,2,FALSE)</f>
        <v>AUTO</v>
      </c>
      <c r="K151" t="str">
        <f>VLOOKUP(A151,[3]Sheet1!$A:$C,3,FALSE)</f>
        <v>ALL</v>
      </c>
    </row>
    <row r="152" spans="1:11" x14ac:dyDescent="0.25">
      <c r="A152" s="2" t="s">
        <v>155</v>
      </c>
      <c r="B152">
        <v>61</v>
      </c>
      <c r="C152" t="s">
        <v>4</v>
      </c>
      <c r="D152" t="str">
        <f>VLOOKUP(A152,[1]Sheet1!$A:$D,2,FALSE)</f>
        <v>SIEMENS</v>
      </c>
      <c r="E152" t="str">
        <f>VLOOKUP(A152,[1]Sheet1!$A:$D,3,FALSE)</f>
        <v>Symphony</v>
      </c>
      <c r="F152">
        <f>VLOOKUP(A152,[1]Sheet1!$A:$D,4,FALSE)</f>
        <v>1.5</v>
      </c>
      <c r="G152">
        <f>VLOOKUP(A152,[2]Sheet1!$A:$D,2,FALSE)</f>
        <v>-1</v>
      </c>
      <c r="H152">
        <f>VLOOKUP(A152,[2]Sheet1!$A:$D,3,FALSE)</f>
        <v>-1</v>
      </c>
      <c r="I152">
        <f>VLOOKUP(A152,[2]Sheet1!$A:$D,4,FALSE)</f>
        <v>4</v>
      </c>
      <c r="J152" t="str">
        <f>VLOOKUP(A152,[3]Sheet1!$A:$C,2,FALSE)</f>
        <v>OBS1</v>
      </c>
      <c r="K152" t="str">
        <f>VLOOKUP(A152,[3]Sheet1!$A:$C,3,FALSE)</f>
        <v>T2</v>
      </c>
    </row>
    <row r="153" spans="1:11" x14ac:dyDescent="0.25">
      <c r="A153" s="2" t="s">
        <v>156</v>
      </c>
      <c r="B153">
        <v>37</v>
      </c>
      <c r="C153" t="s">
        <v>7</v>
      </c>
      <c r="D153" t="str">
        <f>VLOOKUP(A153,[1]Sheet1!$A:$D,2,FALSE)</f>
        <v>GE MEDICAL SYSTEMS</v>
      </c>
      <c r="E153" t="str">
        <f>VLOOKUP(A153,[1]Sheet1!$A:$D,3,FALSE)</f>
        <v>DISCOVERY MR750</v>
      </c>
      <c r="F153">
        <f>VLOOKUP(A153,[1]Sheet1!$A:$D,4,FALSE)</f>
        <v>3</v>
      </c>
      <c r="G153">
        <f>VLOOKUP(A153,[2]Sheet1!$A:$D,2,FALSE)</f>
        <v>0</v>
      </c>
      <c r="H153">
        <f>VLOOKUP(A153,[2]Sheet1!$A:$D,3,FALSE)</f>
        <v>-1</v>
      </c>
      <c r="I153">
        <f>VLOOKUP(A153,[2]Sheet1!$A:$D,4,FALSE)</f>
        <v>4</v>
      </c>
      <c r="J153" t="str">
        <f>VLOOKUP(A153,[3]Sheet1!$A:$C,2,FALSE)</f>
        <v>OBS1</v>
      </c>
      <c r="K153" t="str">
        <f>VLOOKUP(A153,[3]Sheet1!$A:$C,3,FALSE)</f>
        <v>T2</v>
      </c>
    </row>
    <row r="154" spans="1:11" x14ac:dyDescent="0.25">
      <c r="A154" s="2" t="s">
        <v>157</v>
      </c>
      <c r="B154">
        <v>48</v>
      </c>
      <c r="C154" t="s">
        <v>4</v>
      </c>
      <c r="D154" t="str">
        <f>VLOOKUP(A154,[1]Sheet1!$A:$D,2,FALSE)</f>
        <v>Philips Medical Systems</v>
      </c>
      <c r="E154" t="str">
        <f>VLOOKUP(A154,[1]Sheet1!$A:$D,3,FALSE)</f>
        <v>Gyroscan NT</v>
      </c>
      <c r="F154">
        <f>VLOOKUP(A154,[1]Sheet1!$A:$D,4,FALSE)</f>
        <v>0.5</v>
      </c>
      <c r="G154">
        <f>VLOOKUP(A154,[2]Sheet1!$A:$D,2,FALSE)</f>
        <v>-1</v>
      </c>
      <c r="H154">
        <f>VLOOKUP(A154,[2]Sheet1!$A:$D,3,FALSE)</f>
        <v>0</v>
      </c>
      <c r="I154">
        <f>VLOOKUP(A154,[2]Sheet1!$A:$D,4,FALSE)</f>
        <v>3</v>
      </c>
      <c r="J154" t="str">
        <f>VLOOKUP(A154,[3]Sheet1!$A:$C,2,FALSE)</f>
        <v>AUTO</v>
      </c>
      <c r="K154" t="str">
        <f>VLOOKUP(A154,[3]Sheet1!$A:$C,3,FALSE)</f>
        <v>ALL</v>
      </c>
    </row>
    <row r="155" spans="1:11" x14ac:dyDescent="0.25">
      <c r="A155" s="2" t="s">
        <v>158</v>
      </c>
      <c r="B155">
        <v>75</v>
      </c>
      <c r="C155" t="s">
        <v>4</v>
      </c>
      <c r="D155" t="str">
        <f>VLOOKUP(A155,[1]Sheet1!$A:$D,2,FALSE)</f>
        <v>Philips Medical Systems</v>
      </c>
      <c r="E155" t="str">
        <f>VLOOKUP(A155,[1]Sheet1!$A:$D,3,FALSE)</f>
        <v>Intera</v>
      </c>
      <c r="F155">
        <f>VLOOKUP(A155,[1]Sheet1!$A:$D,4,FALSE)</f>
        <v>1.5</v>
      </c>
      <c r="G155">
        <f>VLOOKUP(A155,[2]Sheet1!$A:$D,2,FALSE)</f>
        <v>-1</v>
      </c>
      <c r="H155">
        <f>VLOOKUP(A155,[2]Sheet1!$A:$D,3,FALSE)</f>
        <v>-1</v>
      </c>
      <c r="I155">
        <f>VLOOKUP(A155,[2]Sheet1!$A:$D,4,FALSE)</f>
        <v>4</v>
      </c>
      <c r="J155" t="str">
        <f>VLOOKUP(A155,[3]Sheet1!$A:$C,2,FALSE)</f>
        <v>OBS1</v>
      </c>
      <c r="K155" t="str">
        <f>VLOOKUP(A155,[3]Sheet1!$A:$C,3,FALSE)</f>
        <v>T2</v>
      </c>
    </row>
    <row r="156" spans="1:11" x14ac:dyDescent="0.25">
      <c r="A156" s="2" t="s">
        <v>159</v>
      </c>
      <c r="B156">
        <v>68</v>
      </c>
      <c r="C156" t="s">
        <v>4</v>
      </c>
      <c r="D156" t="str">
        <f>VLOOKUP(A156,[1]Sheet1!$A:$D,2,FALSE)</f>
        <v>GE MEDICAL SYSTEMS</v>
      </c>
      <c r="E156" t="str">
        <f>VLOOKUP(A156,[1]Sheet1!$A:$D,3,FALSE)</f>
        <v>DISCOVERY MR450</v>
      </c>
      <c r="F156">
        <f>VLOOKUP(A156,[1]Sheet1!$A:$D,4,FALSE)</f>
        <v>1.5</v>
      </c>
      <c r="G156">
        <f>VLOOKUP(A156,[2]Sheet1!$A:$D,2,FALSE)</f>
        <v>0</v>
      </c>
      <c r="H156">
        <f>VLOOKUP(A156,[2]Sheet1!$A:$D,3,FALSE)</f>
        <v>-1</v>
      </c>
      <c r="I156">
        <f>VLOOKUP(A156,[2]Sheet1!$A:$D,4,FALSE)</f>
        <v>4</v>
      </c>
      <c r="J156" t="str">
        <f>VLOOKUP(A156,[3]Sheet1!$A:$C,2,FALSE)</f>
        <v>OBS1</v>
      </c>
      <c r="K156" t="str">
        <f>VLOOKUP(A156,[3]Sheet1!$A:$C,3,FALSE)</f>
        <v>T2</v>
      </c>
    </row>
    <row r="157" spans="1:11" x14ac:dyDescent="0.25">
      <c r="A157" s="2" t="s">
        <v>160</v>
      </c>
      <c r="B157">
        <v>72</v>
      </c>
      <c r="C157" t="s">
        <v>7</v>
      </c>
      <c r="D157" t="str">
        <f>VLOOKUP(A157,[1]Sheet1!$A:$D,2,FALSE)</f>
        <v>SIEMENS</v>
      </c>
      <c r="E157" t="str">
        <f>VLOOKUP(A157,[1]Sheet1!$A:$D,3,FALSE)</f>
        <v>Symphony</v>
      </c>
      <c r="F157">
        <f>VLOOKUP(A157,[1]Sheet1!$A:$D,4,FALSE)</f>
        <v>1.5</v>
      </c>
      <c r="G157">
        <f>VLOOKUP(A157,[2]Sheet1!$A:$D,2,FALSE)</f>
        <v>0</v>
      </c>
      <c r="H157">
        <f>VLOOKUP(A157,[2]Sheet1!$A:$D,3,FALSE)</f>
        <v>-1</v>
      </c>
      <c r="I157">
        <f>VLOOKUP(A157,[2]Sheet1!$A:$D,4,FALSE)</f>
        <v>4</v>
      </c>
      <c r="J157" t="str">
        <f>VLOOKUP(A157,[3]Sheet1!$A:$C,2,FALSE)</f>
        <v>OBS1</v>
      </c>
      <c r="K157" t="str">
        <f>VLOOKUP(A157,[3]Sheet1!$A:$C,3,FALSE)</f>
        <v>FLAIR</v>
      </c>
    </row>
    <row r="158" spans="1:11" x14ac:dyDescent="0.25">
      <c r="A158" s="2" t="s">
        <v>161</v>
      </c>
      <c r="B158">
        <v>47</v>
      </c>
      <c r="C158" t="s">
        <v>7</v>
      </c>
      <c r="D158" t="str">
        <f>VLOOKUP(A158,[1]Sheet1!$A:$D,2,FALSE)</f>
        <v>SIEMENS</v>
      </c>
      <c r="E158" t="str">
        <f>VLOOKUP(A158,[1]Sheet1!$A:$D,3,FALSE)</f>
        <v>Espree</v>
      </c>
      <c r="F158">
        <f>VLOOKUP(A158,[1]Sheet1!$A:$D,4,FALSE)</f>
        <v>1.5</v>
      </c>
      <c r="G158">
        <f>VLOOKUP(A158,[2]Sheet1!$A:$D,2,FALSE)</f>
        <v>-1</v>
      </c>
      <c r="H158">
        <f>VLOOKUP(A158,[2]Sheet1!$A:$D,3,FALSE)</f>
        <v>-1</v>
      </c>
      <c r="I158">
        <f>VLOOKUP(A158,[2]Sheet1!$A:$D,4,FALSE)</f>
        <v>4</v>
      </c>
      <c r="J158" t="str">
        <f>VLOOKUP(A158,[3]Sheet1!$A:$C,2,FALSE)</f>
        <v>AUTO</v>
      </c>
      <c r="K158" t="str">
        <f>VLOOKUP(A158,[3]Sheet1!$A:$C,3,FALSE)</f>
        <v>ALL</v>
      </c>
    </row>
    <row r="159" spans="1:11" x14ac:dyDescent="0.25">
      <c r="A159" s="2" t="s">
        <v>162</v>
      </c>
      <c r="B159">
        <v>77</v>
      </c>
      <c r="C159" t="s">
        <v>7</v>
      </c>
      <c r="D159" t="str">
        <f>VLOOKUP(A159,[1]Sheet1!$A:$D,2,FALSE)</f>
        <v>SIEMENS</v>
      </c>
      <c r="E159" t="str">
        <f>VLOOKUP(A159,[1]Sheet1!$A:$D,3,FALSE)</f>
        <v>Avanto</v>
      </c>
      <c r="F159">
        <f>VLOOKUP(A159,[1]Sheet1!$A:$D,4,FALSE)</f>
        <v>1.5</v>
      </c>
      <c r="G159">
        <f>VLOOKUP(A159,[2]Sheet1!$A:$D,2,FALSE)</f>
        <v>0</v>
      </c>
      <c r="H159">
        <f>VLOOKUP(A159,[2]Sheet1!$A:$D,3,FALSE)</f>
        <v>-1</v>
      </c>
      <c r="I159">
        <f>VLOOKUP(A159,[2]Sheet1!$A:$D,4,FALSE)</f>
        <v>4</v>
      </c>
      <c r="J159" t="str">
        <f>VLOOKUP(A159,[3]Sheet1!$A:$C,2,FALSE)</f>
        <v>OBS1</v>
      </c>
      <c r="K159" t="str">
        <f>VLOOKUP(A159,[3]Sheet1!$A:$C,3,FALSE)</f>
        <v>FLAIR</v>
      </c>
    </row>
    <row r="160" spans="1:11" x14ac:dyDescent="0.25">
      <c r="A160" s="2" t="s">
        <v>163</v>
      </c>
      <c r="B160">
        <v>58</v>
      </c>
      <c r="C160" t="s">
        <v>4</v>
      </c>
      <c r="D160" t="str">
        <f>VLOOKUP(A160,[1]Sheet1!$A:$D,2,FALSE)</f>
        <v>GE MEDICAL SYSTEMS</v>
      </c>
      <c r="E160" t="str">
        <f>VLOOKUP(A160,[1]Sheet1!$A:$D,3,FALSE)</f>
        <v>Optima MR450w</v>
      </c>
      <c r="F160">
        <f>VLOOKUP(A160,[1]Sheet1!$A:$D,4,FALSE)</f>
        <v>1.5</v>
      </c>
      <c r="G160">
        <f>VLOOKUP(A160,[2]Sheet1!$A:$D,2,FALSE)</f>
        <v>-1</v>
      </c>
      <c r="H160">
        <f>VLOOKUP(A160,[2]Sheet1!$A:$D,3,FALSE)</f>
        <v>-1</v>
      </c>
      <c r="I160">
        <f>VLOOKUP(A160,[2]Sheet1!$A:$D,4,FALSE)</f>
        <v>4</v>
      </c>
      <c r="J160" t="str">
        <f>VLOOKUP(A160,[3]Sheet1!$A:$C,2,FALSE)</f>
        <v>OBS1</v>
      </c>
      <c r="K160" t="str">
        <f>VLOOKUP(A160,[3]Sheet1!$A:$C,3,FALSE)</f>
        <v>T2</v>
      </c>
    </row>
    <row r="161" spans="1:11" x14ac:dyDescent="0.25">
      <c r="A161" s="2" t="s">
        <v>164</v>
      </c>
      <c r="B161">
        <v>21</v>
      </c>
      <c r="C161" t="s">
        <v>4</v>
      </c>
      <c r="D161" t="str">
        <f>VLOOKUP(A161,[1]Sheet1!$A:$D,2,FALSE)</f>
        <v>SIEMENS</v>
      </c>
      <c r="E161" t="str">
        <f>VLOOKUP(A161,[1]Sheet1!$A:$D,3,FALSE)</f>
        <v>Harmony</v>
      </c>
      <c r="F161">
        <f>VLOOKUP(A161,[1]Sheet1!$A:$D,4,FALSE)</f>
        <v>1</v>
      </c>
      <c r="G161">
        <f>VLOOKUP(A161,[2]Sheet1!$A:$D,2,FALSE)</f>
        <v>1</v>
      </c>
      <c r="H161">
        <f>VLOOKUP(A161,[2]Sheet1!$A:$D,3,FALSE)</f>
        <v>0</v>
      </c>
      <c r="I161">
        <f>VLOOKUP(A161,[2]Sheet1!$A:$D,4,FALSE)</f>
        <v>3</v>
      </c>
      <c r="J161" t="str">
        <f>VLOOKUP(A161,[3]Sheet1!$A:$C,2,FALSE)</f>
        <v>OBS1</v>
      </c>
      <c r="K161" t="str">
        <f>VLOOKUP(A161,[3]Sheet1!$A:$C,3,FALSE)</f>
        <v>FLAIR</v>
      </c>
    </row>
    <row r="162" spans="1:11" x14ac:dyDescent="0.25">
      <c r="A162" s="2" t="s">
        <v>165</v>
      </c>
      <c r="B162">
        <v>56</v>
      </c>
      <c r="C162" t="s">
        <v>7</v>
      </c>
      <c r="D162" t="str">
        <f>VLOOKUP(A162,[1]Sheet1!$A:$D,2,FALSE)</f>
        <v>Philips Medical Systems</v>
      </c>
      <c r="E162" t="str">
        <f>VLOOKUP(A162,[1]Sheet1!$A:$D,3,FALSE)</f>
        <v>Achieva</v>
      </c>
      <c r="F162">
        <f>VLOOKUP(A162,[1]Sheet1!$A:$D,4,FALSE)</f>
        <v>1.5</v>
      </c>
      <c r="G162">
        <f>VLOOKUP(A162,[2]Sheet1!$A:$D,2,FALSE)</f>
        <v>0</v>
      </c>
      <c r="H162">
        <f>VLOOKUP(A162,[2]Sheet1!$A:$D,3,FALSE)</f>
        <v>0</v>
      </c>
      <c r="I162">
        <f>VLOOKUP(A162,[2]Sheet1!$A:$D,4,FALSE)</f>
        <v>2</v>
      </c>
      <c r="J162" t="str">
        <f>VLOOKUP(A162,[3]Sheet1!$A:$C,2,FALSE)</f>
        <v>OBS1</v>
      </c>
      <c r="K162" t="str">
        <f>VLOOKUP(A162,[3]Sheet1!$A:$C,3,FALSE)</f>
        <v>FLAIR</v>
      </c>
    </row>
    <row r="163" spans="1:11" x14ac:dyDescent="0.25">
      <c r="A163" s="2" t="s">
        <v>166</v>
      </c>
      <c r="B163">
        <v>24</v>
      </c>
      <c r="C163" t="s">
        <v>7</v>
      </c>
      <c r="D163" t="str">
        <f>VLOOKUP(A163,[1]Sheet1!$A:$D,2,FALSE)</f>
        <v>GE MEDICAL SYSTEMS</v>
      </c>
      <c r="E163" t="str">
        <f>VLOOKUP(A163,[1]Sheet1!$A:$D,3,FALSE)</f>
        <v>DISCOVERY MR450</v>
      </c>
      <c r="F163">
        <f>VLOOKUP(A163,[1]Sheet1!$A:$D,4,FALSE)</f>
        <v>1.5</v>
      </c>
      <c r="G163">
        <f>VLOOKUP(A163,[2]Sheet1!$A:$D,2,FALSE)</f>
        <v>1</v>
      </c>
      <c r="H163">
        <f>VLOOKUP(A163,[2]Sheet1!$A:$D,3,FALSE)</f>
        <v>1</v>
      </c>
      <c r="I163">
        <f>VLOOKUP(A163,[2]Sheet1!$A:$D,4,FALSE)</f>
        <v>2</v>
      </c>
      <c r="J163" t="str">
        <f>VLOOKUP(A163,[3]Sheet1!$A:$C,2,FALSE)</f>
        <v>OBS2</v>
      </c>
      <c r="K163" t="str">
        <f>VLOOKUP(A163,[3]Sheet1!$A:$C,3,FALSE)</f>
        <v>FLAIR</v>
      </c>
    </row>
    <row r="164" spans="1:11" x14ac:dyDescent="0.25">
      <c r="A164" s="2" t="s">
        <v>167</v>
      </c>
      <c r="B164">
        <v>55</v>
      </c>
      <c r="C164" t="s">
        <v>7</v>
      </c>
      <c r="D164" t="str">
        <f>VLOOKUP(A164,[1]Sheet1!$A:$D,2,FALSE)</f>
        <v>SIEMENS</v>
      </c>
      <c r="E164" t="str">
        <f>VLOOKUP(A164,[1]Sheet1!$A:$D,3,FALSE)</f>
        <v>Avanto</v>
      </c>
      <c r="F164">
        <f>VLOOKUP(A164,[1]Sheet1!$A:$D,4,FALSE)</f>
        <v>1.5</v>
      </c>
      <c r="G164">
        <f>VLOOKUP(A164,[2]Sheet1!$A:$D,2,FALSE)</f>
        <v>-1</v>
      </c>
      <c r="H164">
        <f>VLOOKUP(A164,[2]Sheet1!$A:$D,3,FALSE)</f>
        <v>-1</v>
      </c>
      <c r="I164">
        <f>VLOOKUP(A164,[2]Sheet1!$A:$D,4,FALSE)</f>
        <v>4</v>
      </c>
      <c r="J164" t="str">
        <f>VLOOKUP(A164,[3]Sheet1!$A:$C,2,FALSE)</f>
        <v>AUTO</v>
      </c>
      <c r="K164" t="str">
        <f>VLOOKUP(A164,[3]Sheet1!$A:$C,3,FALSE)</f>
        <v>ALL</v>
      </c>
    </row>
    <row r="165" spans="1:11" x14ac:dyDescent="0.25">
      <c r="A165" s="2" t="s">
        <v>168</v>
      </c>
      <c r="B165">
        <v>54</v>
      </c>
      <c r="C165" t="s">
        <v>4</v>
      </c>
      <c r="D165" t="str">
        <f>VLOOKUP(A165,[1]Sheet1!$A:$D,2,FALSE)</f>
        <v>GE MEDICAL SYSTEMS</v>
      </c>
      <c r="E165" t="str">
        <f>VLOOKUP(A165,[1]Sheet1!$A:$D,3,FALSE)</f>
        <v>Signa HDxt</v>
      </c>
      <c r="F165">
        <f>VLOOKUP(A165,[1]Sheet1!$A:$D,4,FALSE)</f>
        <v>1.5</v>
      </c>
      <c r="G165">
        <f>VLOOKUP(A165,[2]Sheet1!$A:$D,2,FALSE)</f>
        <v>-1</v>
      </c>
      <c r="H165">
        <f>VLOOKUP(A165,[2]Sheet1!$A:$D,3,FALSE)</f>
        <v>-1</v>
      </c>
      <c r="I165">
        <f>VLOOKUP(A165,[2]Sheet1!$A:$D,4,FALSE)</f>
        <v>4</v>
      </c>
      <c r="J165" t="str">
        <f>VLOOKUP(A165,[3]Sheet1!$A:$C,2,FALSE)</f>
        <v>OBS1</v>
      </c>
      <c r="K165" t="str">
        <f>VLOOKUP(A165,[3]Sheet1!$A:$C,3,FALSE)</f>
        <v>FLAIR</v>
      </c>
    </row>
    <row r="166" spans="1:11" x14ac:dyDescent="0.25">
      <c r="A166" s="2" t="s">
        <v>169</v>
      </c>
      <c r="B166">
        <v>56</v>
      </c>
      <c r="C166" t="s">
        <v>4</v>
      </c>
      <c r="D166" t="str">
        <f>VLOOKUP(A166,[1]Sheet1!$A:$D,2,FALSE)</f>
        <v>Philips Medical Systems</v>
      </c>
      <c r="E166" t="str">
        <f>VLOOKUP(A166,[1]Sheet1!$A:$D,3,FALSE)</f>
        <v>Achieva</v>
      </c>
      <c r="F166">
        <f>VLOOKUP(A166,[1]Sheet1!$A:$D,4,FALSE)</f>
        <v>1.5</v>
      </c>
      <c r="G166">
        <f>VLOOKUP(A166,[2]Sheet1!$A:$D,2,FALSE)</f>
        <v>0</v>
      </c>
      <c r="H166">
        <f>VLOOKUP(A166,[2]Sheet1!$A:$D,3,FALSE)</f>
        <v>0</v>
      </c>
      <c r="I166">
        <f>VLOOKUP(A166,[2]Sheet1!$A:$D,4,FALSE)</f>
        <v>4</v>
      </c>
      <c r="J166" t="str">
        <f>VLOOKUP(A166,[3]Sheet1!$A:$C,2,FALSE)</f>
        <v>OBS1</v>
      </c>
      <c r="K166" t="str">
        <f>VLOOKUP(A166,[3]Sheet1!$A:$C,3,FALSE)</f>
        <v>T2</v>
      </c>
    </row>
    <row r="167" spans="1:11" x14ac:dyDescent="0.25">
      <c r="A167" s="2" t="s">
        <v>170</v>
      </c>
      <c r="B167">
        <v>71</v>
      </c>
      <c r="C167" t="s">
        <v>7</v>
      </c>
      <c r="D167" t="str">
        <f>VLOOKUP(A167,[1]Sheet1!$A:$D,2,FALSE)</f>
        <v>Philips Medical Systems</v>
      </c>
      <c r="E167" t="str">
        <f>VLOOKUP(A167,[1]Sheet1!$A:$D,3,FALSE)</f>
        <v>Achieva</v>
      </c>
      <c r="F167">
        <f>VLOOKUP(A167,[1]Sheet1!$A:$D,4,FALSE)</f>
        <v>1.5</v>
      </c>
      <c r="G167">
        <f>VLOOKUP(A167,[2]Sheet1!$A:$D,2,FALSE)</f>
        <v>0</v>
      </c>
      <c r="H167">
        <f>VLOOKUP(A167,[2]Sheet1!$A:$D,3,FALSE)</f>
        <v>-1</v>
      </c>
      <c r="I167">
        <f>VLOOKUP(A167,[2]Sheet1!$A:$D,4,FALSE)</f>
        <v>4</v>
      </c>
      <c r="J167" t="str">
        <f>VLOOKUP(A167,[3]Sheet1!$A:$C,2,FALSE)</f>
        <v>OBS1</v>
      </c>
      <c r="K167" t="str">
        <f>VLOOKUP(A167,[3]Sheet1!$A:$C,3,FALSE)</f>
        <v>T2</v>
      </c>
    </row>
    <row r="168" spans="1:11" x14ac:dyDescent="0.25">
      <c r="A168" s="2" t="s">
        <v>171</v>
      </c>
      <c r="B168">
        <v>65</v>
      </c>
      <c r="C168" t="s">
        <v>4</v>
      </c>
      <c r="D168" t="str">
        <f>VLOOKUP(A168,[1]Sheet1!$A:$D,2,FALSE)</f>
        <v>GE MEDICAL SYSTEMS</v>
      </c>
      <c r="E168" t="str">
        <f>VLOOKUP(A168,[1]Sheet1!$A:$D,3,FALSE)</f>
        <v>Optima MR450w</v>
      </c>
      <c r="F168">
        <f>VLOOKUP(A168,[1]Sheet1!$A:$D,4,FALSE)</f>
        <v>1.5</v>
      </c>
      <c r="G168">
        <f>VLOOKUP(A168,[2]Sheet1!$A:$D,2,FALSE)</f>
        <v>0</v>
      </c>
      <c r="H168">
        <f>VLOOKUP(A168,[2]Sheet1!$A:$D,3,FALSE)</f>
        <v>-1</v>
      </c>
      <c r="I168">
        <f>VLOOKUP(A168,[2]Sheet1!$A:$D,4,FALSE)</f>
        <v>4</v>
      </c>
      <c r="J168" t="str">
        <f>VLOOKUP(A168,[3]Sheet1!$A:$C,2,FALSE)</f>
        <v>OBS1</v>
      </c>
      <c r="K168" t="str">
        <f>VLOOKUP(A168,[3]Sheet1!$A:$C,3,FALSE)</f>
        <v>T2</v>
      </c>
    </row>
    <row r="169" spans="1:11" x14ac:dyDescent="0.25">
      <c r="A169" s="2" t="s">
        <v>172</v>
      </c>
      <c r="B169">
        <v>68</v>
      </c>
      <c r="C169" t="s">
        <v>7</v>
      </c>
      <c r="D169" t="str">
        <f>VLOOKUP(A169,[1]Sheet1!$A:$D,2,FALSE)</f>
        <v>SIEMENS</v>
      </c>
      <c r="E169" t="str">
        <f>VLOOKUP(A169,[1]Sheet1!$A:$D,3,FALSE)</f>
        <v>Symphony</v>
      </c>
      <c r="F169">
        <f>VLOOKUP(A169,[1]Sheet1!$A:$D,4,FALSE)</f>
        <v>1.5</v>
      </c>
      <c r="G169">
        <f>VLOOKUP(A169,[2]Sheet1!$A:$D,2,FALSE)</f>
        <v>0</v>
      </c>
      <c r="H169">
        <f>VLOOKUP(A169,[2]Sheet1!$A:$D,3,FALSE)</f>
        <v>-1</v>
      </c>
      <c r="I169">
        <f>VLOOKUP(A169,[2]Sheet1!$A:$D,4,FALSE)</f>
        <v>4</v>
      </c>
      <c r="J169" t="str">
        <f>VLOOKUP(A169,[3]Sheet1!$A:$C,2,FALSE)</f>
        <v>OBS1</v>
      </c>
      <c r="K169" t="str">
        <f>VLOOKUP(A169,[3]Sheet1!$A:$C,3,FALSE)</f>
        <v>FLAIR</v>
      </c>
    </row>
    <row r="170" spans="1:11" x14ac:dyDescent="0.25">
      <c r="A170" s="2" t="s">
        <v>173</v>
      </c>
      <c r="B170">
        <v>32</v>
      </c>
      <c r="C170" t="s">
        <v>4</v>
      </c>
      <c r="D170" t="str">
        <f>VLOOKUP(A170,[1]Sheet1!$A:$D,2,FALSE)</f>
        <v>GE MEDICAL SYSTEMS</v>
      </c>
      <c r="E170" t="str">
        <f>VLOOKUP(A170,[1]Sheet1!$A:$D,3,FALSE)</f>
        <v>SIGNA HDx</v>
      </c>
      <c r="F170">
        <f>VLOOKUP(A170,[1]Sheet1!$A:$D,4,FALSE)</f>
        <v>1.5</v>
      </c>
      <c r="G170">
        <f>VLOOKUP(A170,[2]Sheet1!$A:$D,2,FALSE)</f>
        <v>-1</v>
      </c>
      <c r="H170">
        <f>VLOOKUP(A170,[2]Sheet1!$A:$D,3,FALSE)</f>
        <v>-1</v>
      </c>
      <c r="I170">
        <f>VLOOKUP(A170,[2]Sheet1!$A:$D,4,FALSE)</f>
        <v>3</v>
      </c>
      <c r="J170" t="str">
        <f>VLOOKUP(A170,[3]Sheet1!$A:$C,2,FALSE)</f>
        <v>AUTO</v>
      </c>
      <c r="K170" t="str">
        <f>VLOOKUP(A170,[3]Sheet1!$A:$C,3,FALSE)</f>
        <v>ALL</v>
      </c>
    </row>
    <row r="171" spans="1:11" x14ac:dyDescent="0.25">
      <c r="A171" s="2" t="s">
        <v>174</v>
      </c>
      <c r="B171">
        <v>38</v>
      </c>
      <c r="C171" t="s">
        <v>7</v>
      </c>
      <c r="D171" t="str">
        <f>VLOOKUP(A171,[1]Sheet1!$A:$D,2,FALSE)</f>
        <v>Philips Medical Systems</v>
      </c>
      <c r="E171" t="str">
        <f>VLOOKUP(A171,[1]Sheet1!$A:$D,3,FALSE)</f>
        <v>Intera</v>
      </c>
      <c r="F171">
        <f>VLOOKUP(A171,[1]Sheet1!$A:$D,4,FALSE)</f>
        <v>1</v>
      </c>
      <c r="G171">
        <f>VLOOKUP(A171,[2]Sheet1!$A:$D,2,FALSE)</f>
        <v>-1</v>
      </c>
      <c r="H171">
        <f>VLOOKUP(A171,[2]Sheet1!$A:$D,3,FALSE)</f>
        <v>-1</v>
      </c>
      <c r="I171">
        <f>VLOOKUP(A171,[2]Sheet1!$A:$D,4,FALSE)</f>
        <v>3</v>
      </c>
      <c r="J171" t="str">
        <f>VLOOKUP(A171,[3]Sheet1!$A:$C,2,FALSE)</f>
        <v>AUTO</v>
      </c>
      <c r="K171" t="str">
        <f>VLOOKUP(A171,[3]Sheet1!$A:$C,3,FALSE)</f>
        <v>ALL</v>
      </c>
    </row>
    <row r="172" spans="1:11" x14ac:dyDescent="0.25">
      <c r="A172" s="2" t="s">
        <v>175</v>
      </c>
      <c r="B172">
        <v>77</v>
      </c>
      <c r="C172" t="s">
        <v>7</v>
      </c>
      <c r="D172" t="str">
        <f>VLOOKUP(A172,[1]Sheet1!$A:$D,2,FALSE)</f>
        <v>Philips Medical Systems</v>
      </c>
      <c r="E172" t="str">
        <f>VLOOKUP(A172,[1]Sheet1!$A:$D,3,FALSE)</f>
        <v>Achieva</v>
      </c>
      <c r="F172">
        <f>VLOOKUP(A172,[1]Sheet1!$A:$D,4,FALSE)</f>
        <v>1.5</v>
      </c>
      <c r="G172">
        <f>VLOOKUP(A172,[2]Sheet1!$A:$D,2,FALSE)</f>
        <v>0</v>
      </c>
      <c r="H172">
        <f>VLOOKUP(A172,[2]Sheet1!$A:$D,3,FALSE)</f>
        <v>-1</v>
      </c>
      <c r="I172">
        <f>VLOOKUP(A172,[2]Sheet1!$A:$D,4,FALSE)</f>
        <v>4</v>
      </c>
      <c r="J172" t="str">
        <f>VLOOKUP(A172,[3]Sheet1!$A:$C,2,FALSE)</f>
        <v>OBS1</v>
      </c>
      <c r="K172" t="str">
        <f>VLOOKUP(A172,[3]Sheet1!$A:$C,3,FALSE)</f>
        <v>T2</v>
      </c>
    </row>
    <row r="173" spans="1:11" x14ac:dyDescent="0.25">
      <c r="A173" s="2" t="s">
        <v>176</v>
      </c>
      <c r="B173">
        <v>60</v>
      </c>
      <c r="C173" t="s">
        <v>7</v>
      </c>
      <c r="D173" t="str">
        <f>VLOOKUP(A173,[1]Sheet1!$A:$D,2,FALSE)</f>
        <v>SIEMENS</v>
      </c>
      <c r="E173" t="str">
        <f>VLOOKUP(A173,[1]Sheet1!$A:$D,3,FALSE)</f>
        <v>Aera</v>
      </c>
      <c r="F173">
        <f>VLOOKUP(A173,[1]Sheet1!$A:$D,4,FALSE)</f>
        <v>1.5</v>
      </c>
      <c r="G173">
        <f>VLOOKUP(A173,[2]Sheet1!$A:$D,2,FALSE)</f>
        <v>0</v>
      </c>
      <c r="H173">
        <f>VLOOKUP(A173,[2]Sheet1!$A:$D,3,FALSE)</f>
        <v>-1</v>
      </c>
      <c r="I173">
        <f>VLOOKUP(A173,[2]Sheet1!$A:$D,4,FALSE)</f>
        <v>4</v>
      </c>
      <c r="J173" t="str">
        <f>VLOOKUP(A173,[3]Sheet1!$A:$C,2,FALSE)</f>
        <v>OBS1</v>
      </c>
      <c r="K173" t="str">
        <f>VLOOKUP(A173,[3]Sheet1!$A:$C,3,FALSE)</f>
        <v>T2</v>
      </c>
    </row>
    <row r="174" spans="1:11" x14ac:dyDescent="0.25">
      <c r="A174" s="2" t="s">
        <v>177</v>
      </c>
      <c r="B174">
        <v>76</v>
      </c>
      <c r="C174" t="s">
        <v>4</v>
      </c>
      <c r="D174" t="str">
        <f>VLOOKUP(A174,[1]Sheet1!$A:$D,2,FALSE)</f>
        <v>SIEMENS</v>
      </c>
      <c r="E174" t="str">
        <f>VLOOKUP(A174,[1]Sheet1!$A:$D,3,FALSE)</f>
        <v>Harmony</v>
      </c>
      <c r="F174">
        <f>VLOOKUP(A174,[1]Sheet1!$A:$D,4,FALSE)</f>
        <v>1</v>
      </c>
      <c r="G174">
        <f>VLOOKUP(A174,[2]Sheet1!$A:$D,2,FALSE)</f>
        <v>-1</v>
      </c>
      <c r="H174">
        <f>VLOOKUP(A174,[2]Sheet1!$A:$D,3,FALSE)</f>
        <v>-1</v>
      </c>
      <c r="I174">
        <f>VLOOKUP(A174,[2]Sheet1!$A:$D,4,FALSE)</f>
        <v>4</v>
      </c>
      <c r="J174" t="str">
        <f>VLOOKUP(A174,[3]Sheet1!$A:$C,2,FALSE)</f>
        <v>AUTO</v>
      </c>
      <c r="K174" t="str">
        <f>VLOOKUP(A174,[3]Sheet1!$A:$C,3,FALSE)</f>
        <v>ALL</v>
      </c>
    </row>
    <row r="175" spans="1:11" x14ac:dyDescent="0.25">
      <c r="A175" s="2" t="s">
        <v>178</v>
      </c>
      <c r="B175">
        <v>50</v>
      </c>
      <c r="C175" t="s">
        <v>7</v>
      </c>
      <c r="D175" t="str">
        <f>VLOOKUP(A175,[1]Sheet1!$A:$D,2,FALSE)</f>
        <v>GE MEDICAL SYSTEMS</v>
      </c>
      <c r="E175" t="str">
        <f>VLOOKUP(A175,[1]Sheet1!$A:$D,3,FALSE)</f>
        <v>GENESIS_SIGNA</v>
      </c>
      <c r="F175">
        <f>VLOOKUP(A175,[1]Sheet1!$A:$D,4,FALSE)</f>
        <v>1</v>
      </c>
      <c r="G175">
        <f>VLOOKUP(A175,[2]Sheet1!$A:$D,2,FALSE)</f>
        <v>-1</v>
      </c>
      <c r="H175">
        <f>VLOOKUP(A175,[2]Sheet1!$A:$D,3,FALSE)</f>
        <v>-1</v>
      </c>
      <c r="I175">
        <f>VLOOKUP(A175,[2]Sheet1!$A:$D,4,FALSE)</f>
        <v>4</v>
      </c>
      <c r="J175" t="str">
        <f>VLOOKUP(A175,[3]Sheet1!$A:$C,2,FALSE)</f>
        <v>AUTO</v>
      </c>
      <c r="K175" t="str">
        <f>VLOOKUP(A175,[3]Sheet1!$A:$C,3,FALSE)</f>
        <v>ALL</v>
      </c>
    </row>
    <row r="176" spans="1:11" x14ac:dyDescent="0.25">
      <c r="A176" s="2" t="s">
        <v>179</v>
      </c>
      <c r="B176">
        <v>68</v>
      </c>
      <c r="C176" t="s">
        <v>4</v>
      </c>
      <c r="D176" t="str">
        <f>VLOOKUP(A176,[1]Sheet1!$A:$D,2,FALSE)</f>
        <v>SIEMENS</v>
      </c>
      <c r="E176" t="str">
        <f>VLOOKUP(A176,[1]Sheet1!$A:$D,3,FALSE)</f>
        <v>Avanto</v>
      </c>
      <c r="F176">
        <f>VLOOKUP(A176,[1]Sheet1!$A:$D,4,FALSE)</f>
        <v>1.5</v>
      </c>
      <c r="G176">
        <f>VLOOKUP(A176,[2]Sheet1!$A:$D,2,FALSE)</f>
        <v>-1</v>
      </c>
      <c r="H176">
        <f>VLOOKUP(A176,[2]Sheet1!$A:$D,3,FALSE)</f>
        <v>-1</v>
      </c>
      <c r="I176">
        <f>VLOOKUP(A176,[2]Sheet1!$A:$D,4,FALSE)</f>
        <v>3</v>
      </c>
      <c r="J176" t="str">
        <f>VLOOKUP(A176,[3]Sheet1!$A:$C,2,FALSE)</f>
        <v>AUTO</v>
      </c>
      <c r="K176" t="str">
        <f>VLOOKUP(A176,[3]Sheet1!$A:$C,3,FALSE)</f>
        <v>ALL</v>
      </c>
    </row>
    <row r="177" spans="1:11" x14ac:dyDescent="0.25">
      <c r="A177" s="2" t="s">
        <v>180</v>
      </c>
      <c r="B177">
        <v>53</v>
      </c>
      <c r="C177" t="s">
        <v>7</v>
      </c>
      <c r="D177" t="str">
        <f>VLOOKUP(A177,[1]Sheet1!$A:$D,2,FALSE)</f>
        <v>SIEMENS</v>
      </c>
      <c r="E177" t="str">
        <f>VLOOKUP(A177,[1]Sheet1!$A:$D,3,FALSE)</f>
        <v>Skyra</v>
      </c>
      <c r="F177">
        <f>VLOOKUP(A177,[1]Sheet1!$A:$D,4,FALSE)</f>
        <v>3</v>
      </c>
      <c r="G177">
        <f>VLOOKUP(A177,[2]Sheet1!$A:$D,2,FALSE)</f>
        <v>0</v>
      </c>
      <c r="H177">
        <f>VLOOKUP(A177,[2]Sheet1!$A:$D,3,FALSE)</f>
        <v>0</v>
      </c>
      <c r="I177">
        <f>VLOOKUP(A177,[2]Sheet1!$A:$D,4,FALSE)</f>
        <v>4</v>
      </c>
      <c r="J177" t="str">
        <f>VLOOKUP(A177,[3]Sheet1!$A:$C,2,FALSE)</f>
        <v>AUTO</v>
      </c>
      <c r="K177" t="str">
        <f>VLOOKUP(A177,[3]Sheet1!$A:$C,3,FALSE)</f>
        <v>ALL</v>
      </c>
    </row>
    <row r="178" spans="1:11" x14ac:dyDescent="0.25">
      <c r="A178" s="2" t="s">
        <v>181</v>
      </c>
      <c r="B178">
        <v>54</v>
      </c>
      <c r="C178" t="s">
        <v>4</v>
      </c>
      <c r="D178" t="str">
        <f>VLOOKUP(A178,[1]Sheet1!$A:$D,2,FALSE)</f>
        <v>Philips Medical Systems</v>
      </c>
      <c r="E178" t="str">
        <f>VLOOKUP(A178,[1]Sheet1!$A:$D,3,FALSE)</f>
        <v>Achieva</v>
      </c>
      <c r="F178">
        <f>VLOOKUP(A178,[1]Sheet1!$A:$D,4,FALSE)</f>
        <v>1.5</v>
      </c>
      <c r="G178">
        <f>VLOOKUP(A178,[2]Sheet1!$A:$D,2,FALSE)</f>
        <v>1</v>
      </c>
      <c r="H178">
        <f>VLOOKUP(A178,[2]Sheet1!$A:$D,3,FALSE)</f>
        <v>1</v>
      </c>
      <c r="I178">
        <f>VLOOKUP(A178,[2]Sheet1!$A:$D,4,FALSE)</f>
        <v>3</v>
      </c>
      <c r="J178" t="str">
        <f>VLOOKUP(A178,[3]Sheet1!$A:$C,2,FALSE)</f>
        <v>AUTO</v>
      </c>
      <c r="K178" t="str">
        <f>VLOOKUP(A178,[3]Sheet1!$A:$C,3,FALSE)</f>
        <v>ALL</v>
      </c>
    </row>
    <row r="179" spans="1:11" x14ac:dyDescent="0.25">
      <c r="A179" s="2" t="s">
        <v>182</v>
      </c>
      <c r="B179">
        <v>85</v>
      </c>
      <c r="C179" t="s">
        <v>7</v>
      </c>
      <c r="D179" t="str">
        <f>VLOOKUP(A179,[1]Sheet1!$A:$D,2,FALSE)</f>
        <v>SIEMENS</v>
      </c>
      <c r="E179" t="str">
        <f>VLOOKUP(A179,[1]Sheet1!$A:$D,3,FALSE)</f>
        <v>Avanto</v>
      </c>
      <c r="F179">
        <f>VLOOKUP(A179,[1]Sheet1!$A:$D,4,FALSE)</f>
        <v>1.5</v>
      </c>
      <c r="G179">
        <f>VLOOKUP(A179,[2]Sheet1!$A:$D,2,FALSE)</f>
        <v>-1</v>
      </c>
      <c r="H179">
        <f>VLOOKUP(A179,[2]Sheet1!$A:$D,3,FALSE)</f>
        <v>-1</v>
      </c>
      <c r="I179">
        <f>VLOOKUP(A179,[2]Sheet1!$A:$D,4,FALSE)</f>
        <v>4</v>
      </c>
      <c r="J179" t="str">
        <f>VLOOKUP(A179,[3]Sheet1!$A:$C,2,FALSE)</f>
        <v>AUTO</v>
      </c>
      <c r="K179" t="str">
        <f>VLOOKUP(A179,[3]Sheet1!$A:$C,3,FALSE)</f>
        <v>ALL</v>
      </c>
    </row>
    <row r="180" spans="1:11" x14ac:dyDescent="0.25">
      <c r="A180" s="2" t="s">
        <v>183</v>
      </c>
      <c r="B180">
        <v>37</v>
      </c>
      <c r="C180" t="s">
        <v>4</v>
      </c>
      <c r="D180" t="str">
        <f>VLOOKUP(A180,[1]Sheet1!$A:$D,2,FALSE)</f>
        <v>SIEMENS</v>
      </c>
      <c r="E180" t="str">
        <f>VLOOKUP(A180,[1]Sheet1!$A:$D,3,FALSE)</f>
        <v>Harmony</v>
      </c>
      <c r="F180">
        <f>VLOOKUP(A180,[1]Sheet1!$A:$D,4,FALSE)</f>
        <v>1</v>
      </c>
      <c r="G180">
        <f>VLOOKUP(A180,[2]Sheet1!$A:$D,2,FALSE)</f>
        <v>1</v>
      </c>
      <c r="H180">
        <f>VLOOKUP(A180,[2]Sheet1!$A:$D,3,FALSE)</f>
        <v>1</v>
      </c>
      <c r="I180">
        <f>VLOOKUP(A180,[2]Sheet1!$A:$D,4,FALSE)</f>
        <v>2</v>
      </c>
      <c r="J180" t="str">
        <f>VLOOKUP(A180,[3]Sheet1!$A:$C,2,FALSE)</f>
        <v>OBS2</v>
      </c>
      <c r="K180" t="str">
        <f>VLOOKUP(A180,[3]Sheet1!$A:$C,3,FALSE)</f>
        <v>FLAIR</v>
      </c>
    </row>
    <row r="181" spans="1:11" x14ac:dyDescent="0.25">
      <c r="A181" s="2" t="s">
        <v>184</v>
      </c>
      <c r="B181">
        <v>45</v>
      </c>
      <c r="C181" t="s">
        <v>4</v>
      </c>
      <c r="D181" t="str">
        <f>VLOOKUP(A181,[1]Sheet1!$A:$D,2,FALSE)</f>
        <v>SIEMENS</v>
      </c>
      <c r="E181" t="str">
        <f>VLOOKUP(A181,[1]Sheet1!$A:$D,3,FALSE)</f>
        <v>MAGNETOM VISION</v>
      </c>
      <c r="F181">
        <f>VLOOKUP(A181,[1]Sheet1!$A:$D,4,FALSE)</f>
        <v>1.5</v>
      </c>
      <c r="G181">
        <f>VLOOKUP(A181,[2]Sheet1!$A:$D,2,FALSE)</f>
        <v>-1</v>
      </c>
      <c r="H181">
        <f>VLOOKUP(A181,[2]Sheet1!$A:$D,3,FALSE)</f>
        <v>-1</v>
      </c>
      <c r="I181">
        <f>VLOOKUP(A181,[2]Sheet1!$A:$D,4,FALSE)</f>
        <v>3</v>
      </c>
      <c r="J181" t="str">
        <f>VLOOKUP(A181,[3]Sheet1!$A:$C,2,FALSE)</f>
        <v>AUTO</v>
      </c>
      <c r="K181" t="str">
        <f>VLOOKUP(A181,[3]Sheet1!$A:$C,3,FALSE)</f>
        <v>ALL</v>
      </c>
    </row>
    <row r="182" spans="1:11" x14ac:dyDescent="0.25">
      <c r="A182" s="2" t="s">
        <v>185</v>
      </c>
      <c r="B182">
        <v>30</v>
      </c>
      <c r="C182" t="s">
        <v>4</v>
      </c>
      <c r="D182" t="str">
        <f>VLOOKUP(A182,[1]Sheet1!$A:$D,2,FALSE)</f>
        <v>Philips Medical Systems</v>
      </c>
      <c r="E182" t="str">
        <f>VLOOKUP(A182,[1]Sheet1!$A:$D,3,FALSE)</f>
        <v>Achieva</v>
      </c>
      <c r="F182">
        <f>VLOOKUP(A182,[1]Sheet1!$A:$D,4,FALSE)</f>
        <v>1.5</v>
      </c>
      <c r="G182">
        <f>VLOOKUP(A182,[2]Sheet1!$A:$D,2,FALSE)</f>
        <v>-1</v>
      </c>
      <c r="H182">
        <f>VLOOKUP(A182,[2]Sheet1!$A:$D,3,FALSE)</f>
        <v>-1</v>
      </c>
      <c r="I182">
        <f>VLOOKUP(A182,[2]Sheet1!$A:$D,4,FALSE)</f>
        <v>4</v>
      </c>
      <c r="J182" t="str">
        <f>VLOOKUP(A182,[3]Sheet1!$A:$C,2,FALSE)</f>
        <v>AUTO</v>
      </c>
      <c r="K182" t="str">
        <f>VLOOKUP(A182,[3]Sheet1!$A:$C,3,FALSE)</f>
        <v>ALL</v>
      </c>
    </row>
    <row r="183" spans="1:11" x14ac:dyDescent="0.25">
      <c r="A183" s="2" t="s">
        <v>186</v>
      </c>
      <c r="B183">
        <v>56</v>
      </c>
      <c r="C183" t="s">
        <v>7</v>
      </c>
      <c r="D183" t="str">
        <f>VLOOKUP(A183,[1]Sheet1!$A:$D,2,FALSE)</f>
        <v>GE MEDICAL SYSTEMS</v>
      </c>
      <c r="E183" t="str">
        <f>VLOOKUP(A183,[1]Sheet1!$A:$D,3,FALSE)</f>
        <v>DISCOVERY MR750</v>
      </c>
      <c r="F183">
        <f>VLOOKUP(A183,[1]Sheet1!$A:$D,4,FALSE)</f>
        <v>3</v>
      </c>
      <c r="G183">
        <f>VLOOKUP(A183,[2]Sheet1!$A:$D,2,FALSE)</f>
        <v>0</v>
      </c>
      <c r="H183">
        <f>VLOOKUP(A183,[2]Sheet1!$A:$D,3,FALSE)</f>
        <v>-1</v>
      </c>
      <c r="I183">
        <f>VLOOKUP(A183,[2]Sheet1!$A:$D,4,FALSE)</f>
        <v>4</v>
      </c>
      <c r="J183" t="str">
        <f>VLOOKUP(A183,[3]Sheet1!$A:$C,2,FALSE)</f>
        <v>OBS1</v>
      </c>
      <c r="K183" t="str">
        <f>VLOOKUP(A183,[3]Sheet1!$A:$C,3,FALSE)</f>
        <v>T2</v>
      </c>
    </row>
    <row r="184" spans="1:11" x14ac:dyDescent="0.25">
      <c r="A184" s="2" t="s">
        <v>187</v>
      </c>
      <c r="B184">
        <v>44</v>
      </c>
      <c r="C184" t="s">
        <v>7</v>
      </c>
      <c r="D184" t="str">
        <f>VLOOKUP(A184,[1]Sheet1!$A:$D,2,FALSE)</f>
        <v>SIEMENS</v>
      </c>
      <c r="E184" t="str">
        <f>VLOOKUP(A184,[1]Sheet1!$A:$D,3,FALSE)</f>
        <v>Skyra</v>
      </c>
      <c r="F184">
        <f>VLOOKUP(A184,[1]Sheet1!$A:$D,4,FALSE)</f>
        <v>3</v>
      </c>
      <c r="G184">
        <f>VLOOKUP(A184,[2]Sheet1!$A:$D,2,FALSE)</f>
        <v>0</v>
      </c>
      <c r="H184">
        <f>VLOOKUP(A184,[2]Sheet1!$A:$D,3,FALSE)</f>
        <v>0</v>
      </c>
      <c r="I184">
        <f>VLOOKUP(A184,[2]Sheet1!$A:$D,4,FALSE)</f>
        <v>4</v>
      </c>
      <c r="J184" t="str">
        <f>VLOOKUP(A184,[3]Sheet1!$A:$C,2,FALSE)</f>
        <v>OBS1</v>
      </c>
      <c r="K184" t="str">
        <f>VLOOKUP(A184,[3]Sheet1!$A:$C,3,FALSE)</f>
        <v>T2</v>
      </c>
    </row>
    <row r="185" spans="1:11" x14ac:dyDescent="0.25">
      <c r="A185" s="2" t="s">
        <v>188</v>
      </c>
      <c r="B185">
        <v>52</v>
      </c>
      <c r="C185" t="s">
        <v>4</v>
      </c>
      <c r="D185" t="str">
        <f>VLOOKUP(A185,[1]Sheet1!$A:$D,2,FALSE)</f>
        <v>Philips Medical Systems</v>
      </c>
      <c r="E185" t="str">
        <f>VLOOKUP(A185,[1]Sheet1!$A:$D,3,FALSE)</f>
        <v>Achieva</v>
      </c>
      <c r="F185">
        <f>VLOOKUP(A185,[1]Sheet1!$A:$D,4,FALSE)</f>
        <v>1.5</v>
      </c>
      <c r="G185">
        <f>VLOOKUP(A185,[2]Sheet1!$A:$D,2,FALSE)</f>
        <v>-1</v>
      </c>
      <c r="H185">
        <f>VLOOKUP(A185,[2]Sheet1!$A:$D,3,FALSE)</f>
        <v>-1</v>
      </c>
      <c r="I185">
        <f>VLOOKUP(A185,[2]Sheet1!$A:$D,4,FALSE)</f>
        <v>4</v>
      </c>
      <c r="J185" t="str">
        <f>VLOOKUP(A185,[3]Sheet1!$A:$C,2,FALSE)</f>
        <v>AUTO</v>
      </c>
      <c r="K185" t="str">
        <f>VLOOKUP(A185,[3]Sheet1!$A:$C,3,FALSE)</f>
        <v>ALL</v>
      </c>
    </row>
    <row r="186" spans="1:11" x14ac:dyDescent="0.25">
      <c r="A186" s="2" t="s">
        <v>189</v>
      </c>
      <c r="B186">
        <v>40</v>
      </c>
      <c r="C186" t="s">
        <v>4</v>
      </c>
      <c r="D186" t="str">
        <f>VLOOKUP(A186,[1]Sheet1!$A:$D,2,FALSE)</f>
        <v>SIEMENS</v>
      </c>
      <c r="E186" t="str">
        <f>VLOOKUP(A186,[1]Sheet1!$A:$D,3,FALSE)</f>
        <v>Avanto</v>
      </c>
      <c r="F186">
        <f>VLOOKUP(A186,[1]Sheet1!$A:$D,4,FALSE)</f>
        <v>1.5</v>
      </c>
      <c r="G186">
        <f>VLOOKUP(A186,[2]Sheet1!$A:$D,2,FALSE)</f>
        <v>1</v>
      </c>
      <c r="H186">
        <f>VLOOKUP(A186,[2]Sheet1!$A:$D,3,FALSE)</f>
        <v>0</v>
      </c>
      <c r="I186">
        <f>VLOOKUP(A186,[2]Sheet1!$A:$D,4,FALSE)</f>
        <v>2</v>
      </c>
      <c r="J186" t="str">
        <f>VLOOKUP(A186,[3]Sheet1!$A:$C,2,FALSE)</f>
        <v>OBS2</v>
      </c>
      <c r="K186" t="str">
        <f>VLOOKUP(A186,[3]Sheet1!$A:$C,3,FALSE)</f>
        <v>FLAIR</v>
      </c>
    </row>
    <row r="187" spans="1:11" x14ac:dyDescent="0.25">
      <c r="A187" s="2" t="s">
        <v>190</v>
      </c>
      <c r="B187">
        <v>60</v>
      </c>
      <c r="C187" t="s">
        <v>7</v>
      </c>
      <c r="D187" t="str">
        <f>VLOOKUP(A187,[1]Sheet1!$A:$D,2,FALSE)</f>
        <v>Philips Medical Systems</v>
      </c>
      <c r="E187" t="str">
        <f>VLOOKUP(A187,[1]Sheet1!$A:$D,3,FALSE)</f>
        <v>Achieva dStream</v>
      </c>
      <c r="F187">
        <f>VLOOKUP(A187,[1]Sheet1!$A:$D,4,FALSE)</f>
        <v>1.5</v>
      </c>
      <c r="G187">
        <f>VLOOKUP(A187,[2]Sheet1!$A:$D,2,FALSE)</f>
        <v>1</v>
      </c>
      <c r="H187">
        <f>VLOOKUP(A187,[2]Sheet1!$A:$D,3,FALSE)</f>
        <v>1</v>
      </c>
      <c r="I187">
        <f>VLOOKUP(A187,[2]Sheet1!$A:$D,4,FALSE)</f>
        <v>2</v>
      </c>
      <c r="J187" t="str">
        <f>VLOOKUP(A187,[3]Sheet1!$A:$C,2,FALSE)</f>
        <v>AUTO</v>
      </c>
      <c r="K187" t="str">
        <f>VLOOKUP(A187,[3]Sheet1!$A:$C,3,FALSE)</f>
        <v>ALL</v>
      </c>
    </row>
    <row r="188" spans="1:11" x14ac:dyDescent="0.25">
      <c r="A188" s="2" t="s">
        <v>191</v>
      </c>
      <c r="B188">
        <v>47</v>
      </c>
      <c r="C188" t="s">
        <v>7</v>
      </c>
      <c r="D188" t="str">
        <f>VLOOKUP(A188,[1]Sheet1!$A:$D,2,FALSE)</f>
        <v>GE MEDICAL SYSTEMS</v>
      </c>
      <c r="E188" t="str">
        <f>VLOOKUP(A188,[1]Sheet1!$A:$D,3,FALSE)</f>
        <v>DISCOVERY MR450</v>
      </c>
      <c r="F188">
        <f>VLOOKUP(A188,[1]Sheet1!$A:$D,4,FALSE)</f>
        <v>1.5</v>
      </c>
      <c r="G188">
        <f>VLOOKUP(A188,[2]Sheet1!$A:$D,2,FALSE)</f>
        <v>1</v>
      </c>
      <c r="H188">
        <f>VLOOKUP(A188,[2]Sheet1!$A:$D,3,FALSE)</f>
        <v>1</v>
      </c>
      <c r="I188">
        <f>VLOOKUP(A188,[2]Sheet1!$A:$D,4,FALSE)</f>
        <v>2</v>
      </c>
      <c r="J188" t="str">
        <f>VLOOKUP(A188,[3]Sheet1!$A:$C,2,FALSE)</f>
        <v>AUTO</v>
      </c>
      <c r="K188" t="str">
        <f>VLOOKUP(A188,[3]Sheet1!$A:$C,3,FALSE)</f>
        <v>ALL</v>
      </c>
    </row>
    <row r="189" spans="1:11" x14ac:dyDescent="0.25">
      <c r="A189" s="2" t="s">
        <v>192</v>
      </c>
      <c r="B189">
        <v>33</v>
      </c>
      <c r="C189" t="s">
        <v>7</v>
      </c>
      <c r="D189" t="str">
        <f>VLOOKUP(A189,[1]Sheet1!$A:$D,2,FALSE)</f>
        <v>SIEMENS</v>
      </c>
      <c r="E189" t="str">
        <f>VLOOKUP(A189,[1]Sheet1!$A:$D,3,FALSE)</f>
        <v>Aera</v>
      </c>
      <c r="F189">
        <f>VLOOKUP(A189,[1]Sheet1!$A:$D,4,FALSE)</f>
        <v>1.5</v>
      </c>
      <c r="G189">
        <f>VLOOKUP(A189,[2]Sheet1!$A:$D,2,FALSE)</f>
        <v>1</v>
      </c>
      <c r="H189">
        <f>VLOOKUP(A189,[2]Sheet1!$A:$D,3,FALSE)</f>
        <v>0</v>
      </c>
      <c r="I189">
        <f>VLOOKUP(A189,[2]Sheet1!$A:$D,4,FALSE)</f>
        <v>3</v>
      </c>
      <c r="J189" t="str">
        <f>VLOOKUP(A189,[3]Sheet1!$A:$C,2,FALSE)</f>
        <v>OBS1</v>
      </c>
      <c r="K189" t="str">
        <f>VLOOKUP(A189,[3]Sheet1!$A:$C,3,FALSE)</f>
        <v>FLAIR</v>
      </c>
    </row>
    <row r="190" spans="1:11" x14ac:dyDescent="0.25">
      <c r="A190" s="2" t="s">
        <v>193</v>
      </c>
      <c r="B190">
        <v>54</v>
      </c>
      <c r="C190" t="s">
        <v>7</v>
      </c>
      <c r="D190" t="str">
        <f>VLOOKUP(A190,[1]Sheet1!$A:$D,2,FALSE)</f>
        <v>Philips Medical Systems</v>
      </c>
      <c r="E190" t="str">
        <f>VLOOKUP(A190,[1]Sheet1!$A:$D,3,FALSE)</f>
        <v>Achieva dStream</v>
      </c>
      <c r="F190">
        <f>VLOOKUP(A190,[1]Sheet1!$A:$D,4,FALSE)</f>
        <v>1.5</v>
      </c>
      <c r="G190">
        <f>VLOOKUP(A190,[2]Sheet1!$A:$D,2,FALSE)</f>
        <v>-1</v>
      </c>
      <c r="H190">
        <f>VLOOKUP(A190,[2]Sheet1!$A:$D,3,FALSE)</f>
        <v>-1</v>
      </c>
      <c r="I190">
        <f>VLOOKUP(A190,[2]Sheet1!$A:$D,4,FALSE)</f>
        <v>4</v>
      </c>
      <c r="J190" t="str">
        <f>VLOOKUP(A190,[3]Sheet1!$A:$C,2,FALSE)</f>
        <v>AUTO</v>
      </c>
      <c r="K190" t="str">
        <f>VLOOKUP(A190,[3]Sheet1!$A:$C,3,FALSE)</f>
        <v>ALL</v>
      </c>
    </row>
    <row r="191" spans="1:11" x14ac:dyDescent="0.25">
      <c r="A191" s="2" t="s">
        <v>194</v>
      </c>
      <c r="B191">
        <v>75</v>
      </c>
      <c r="C191" t="s">
        <v>4</v>
      </c>
      <c r="D191" t="str">
        <f>VLOOKUP(A191,[1]Sheet1!$A:$D,2,FALSE)</f>
        <v>Philips Medical Systems</v>
      </c>
      <c r="E191" t="str">
        <f>VLOOKUP(A191,[1]Sheet1!$A:$D,3,FALSE)</f>
        <v>Intera</v>
      </c>
      <c r="F191">
        <f>VLOOKUP(A191,[1]Sheet1!$A:$D,4,FALSE)</f>
        <v>1.5</v>
      </c>
      <c r="G191">
        <f>VLOOKUP(A191,[2]Sheet1!$A:$D,2,FALSE)</f>
        <v>-1</v>
      </c>
      <c r="H191">
        <f>VLOOKUP(A191,[2]Sheet1!$A:$D,3,FALSE)</f>
        <v>-1</v>
      </c>
      <c r="I191">
        <f>VLOOKUP(A191,[2]Sheet1!$A:$D,4,FALSE)</f>
        <v>4</v>
      </c>
      <c r="J191" t="str">
        <f>VLOOKUP(A191,[3]Sheet1!$A:$C,2,FALSE)</f>
        <v>AUTO</v>
      </c>
      <c r="K191" t="str">
        <f>VLOOKUP(A191,[3]Sheet1!$A:$C,3,FALSE)</f>
        <v>ALL</v>
      </c>
    </row>
    <row r="192" spans="1:11" x14ac:dyDescent="0.25">
      <c r="A192" s="2" t="s">
        <v>195</v>
      </c>
      <c r="B192">
        <v>27</v>
      </c>
      <c r="C192" t="s">
        <v>4</v>
      </c>
      <c r="D192" t="str">
        <f>VLOOKUP(A192,[1]Sheet1!$A:$D,2,FALSE)</f>
        <v>SIEMENS</v>
      </c>
      <c r="E192" t="str">
        <f>VLOOKUP(A192,[1]Sheet1!$A:$D,3,FALSE)</f>
        <v>Harmony</v>
      </c>
      <c r="F192">
        <f>VLOOKUP(A192,[1]Sheet1!$A:$D,4,FALSE)</f>
        <v>1</v>
      </c>
      <c r="G192">
        <f>VLOOKUP(A192,[2]Sheet1!$A:$D,2,FALSE)</f>
        <v>1</v>
      </c>
      <c r="H192">
        <f>VLOOKUP(A192,[2]Sheet1!$A:$D,3,FALSE)</f>
        <v>0</v>
      </c>
      <c r="I192">
        <f>VLOOKUP(A192,[2]Sheet1!$A:$D,4,FALSE)</f>
        <v>-1</v>
      </c>
      <c r="J192" t="str">
        <f>VLOOKUP(A192,[3]Sheet1!$A:$C,2,FALSE)</f>
        <v>OBS1</v>
      </c>
      <c r="K192" t="str">
        <f>VLOOKUP(A192,[3]Sheet1!$A:$C,3,FALSE)</f>
        <v>FLAIR</v>
      </c>
    </row>
    <row r="193" spans="1:11" x14ac:dyDescent="0.25">
      <c r="A193" s="2" t="s">
        <v>196</v>
      </c>
      <c r="B193">
        <v>74</v>
      </c>
      <c r="C193" t="s">
        <v>4</v>
      </c>
      <c r="D193" t="str">
        <f>VLOOKUP(A193,[1]Sheet1!$A:$D,2,FALSE)</f>
        <v>GE MEDICAL SYSTEMS</v>
      </c>
      <c r="E193" t="str">
        <f>VLOOKUP(A193,[1]Sheet1!$A:$D,3,FALSE)</f>
        <v>DISCOVERY MR450</v>
      </c>
      <c r="F193">
        <f>VLOOKUP(A193,[1]Sheet1!$A:$D,4,FALSE)</f>
        <v>1.5</v>
      </c>
      <c r="G193">
        <f>VLOOKUP(A193,[2]Sheet1!$A:$D,2,FALSE)</f>
        <v>0</v>
      </c>
      <c r="H193">
        <f>VLOOKUP(A193,[2]Sheet1!$A:$D,3,FALSE)</f>
        <v>0</v>
      </c>
      <c r="I193">
        <f>VLOOKUP(A193,[2]Sheet1!$A:$D,4,FALSE)</f>
        <v>4</v>
      </c>
      <c r="J193" t="str">
        <f>VLOOKUP(A193,[3]Sheet1!$A:$C,2,FALSE)</f>
        <v>OBS1</v>
      </c>
      <c r="K193" t="str">
        <f>VLOOKUP(A193,[3]Sheet1!$A:$C,3,FALSE)</f>
        <v>T2</v>
      </c>
    </row>
    <row r="194" spans="1:11" x14ac:dyDescent="0.25">
      <c r="A194" s="2" t="s">
        <v>197</v>
      </c>
      <c r="B194">
        <v>47</v>
      </c>
      <c r="C194" t="s">
        <v>4</v>
      </c>
      <c r="D194" t="str">
        <f>VLOOKUP(A194,[1]Sheet1!$A:$D,2,FALSE)</f>
        <v>Philips Healthcare</v>
      </c>
      <c r="E194" t="str">
        <f>VLOOKUP(A194,[1]Sheet1!$A:$D,3,FALSE)</f>
        <v>Ingenia</v>
      </c>
      <c r="F194">
        <f>VLOOKUP(A194,[1]Sheet1!$A:$D,4,FALSE)</f>
        <v>1.5</v>
      </c>
      <c r="G194">
        <f>VLOOKUP(A194,[2]Sheet1!$A:$D,2,FALSE)</f>
        <v>0</v>
      </c>
      <c r="H194">
        <f>VLOOKUP(A194,[2]Sheet1!$A:$D,3,FALSE)</f>
        <v>0</v>
      </c>
      <c r="I194">
        <f>VLOOKUP(A194,[2]Sheet1!$A:$D,4,FALSE)</f>
        <v>4</v>
      </c>
      <c r="J194" t="str">
        <f>VLOOKUP(A194,[3]Sheet1!$A:$C,2,FALSE)</f>
        <v>AUTO</v>
      </c>
      <c r="K194" t="str">
        <f>VLOOKUP(A194,[3]Sheet1!$A:$C,3,FALSE)</f>
        <v>ALL</v>
      </c>
    </row>
    <row r="195" spans="1:11" x14ac:dyDescent="0.25">
      <c r="A195" s="2" t="s">
        <v>198</v>
      </c>
      <c r="B195">
        <v>71</v>
      </c>
      <c r="C195" t="s">
        <v>7</v>
      </c>
      <c r="D195" t="str">
        <f>VLOOKUP(A195,[1]Sheet1!$A:$D,2,FALSE)</f>
        <v>SIEMENS</v>
      </c>
      <c r="E195" t="str">
        <f>VLOOKUP(A195,[1]Sheet1!$A:$D,3,FALSE)</f>
        <v>Symphony</v>
      </c>
      <c r="F195">
        <f>VLOOKUP(A195,[1]Sheet1!$A:$D,4,FALSE)</f>
        <v>1.5</v>
      </c>
      <c r="G195">
        <f>VLOOKUP(A195,[2]Sheet1!$A:$D,2,FALSE)</f>
        <v>1</v>
      </c>
      <c r="H195">
        <f>VLOOKUP(A195,[2]Sheet1!$A:$D,3,FALSE)</f>
        <v>1</v>
      </c>
      <c r="I195">
        <f>VLOOKUP(A195,[2]Sheet1!$A:$D,4,FALSE)</f>
        <v>2</v>
      </c>
      <c r="J195" t="str">
        <f>VLOOKUP(A195,[3]Sheet1!$A:$C,2,FALSE)</f>
        <v>OBS1</v>
      </c>
      <c r="K195" t="str">
        <f>VLOOKUP(A195,[3]Sheet1!$A:$C,3,FALSE)</f>
        <v>FLAIR</v>
      </c>
    </row>
    <row r="196" spans="1:11" x14ac:dyDescent="0.25">
      <c r="A196" s="2" t="s">
        <v>199</v>
      </c>
      <c r="B196">
        <v>71</v>
      </c>
      <c r="C196" t="s">
        <v>7</v>
      </c>
      <c r="D196" t="str">
        <f>VLOOKUP(A196,[1]Sheet1!$A:$D,2,FALSE)</f>
        <v>SIEMENS</v>
      </c>
      <c r="E196" t="str">
        <f>VLOOKUP(A196,[1]Sheet1!$A:$D,3,FALSE)</f>
        <v>Avanto</v>
      </c>
      <c r="F196">
        <f>VLOOKUP(A196,[1]Sheet1!$A:$D,4,FALSE)</f>
        <v>1.5</v>
      </c>
      <c r="G196">
        <f>VLOOKUP(A196,[2]Sheet1!$A:$D,2,FALSE)</f>
        <v>-1</v>
      </c>
      <c r="H196">
        <f>VLOOKUP(A196,[2]Sheet1!$A:$D,3,FALSE)</f>
        <v>-1</v>
      </c>
      <c r="I196">
        <f>VLOOKUP(A196,[2]Sheet1!$A:$D,4,FALSE)</f>
        <v>4</v>
      </c>
      <c r="J196" t="str">
        <f>VLOOKUP(A196,[3]Sheet1!$A:$C,2,FALSE)</f>
        <v>OBS1</v>
      </c>
      <c r="K196" t="str">
        <f>VLOOKUP(A196,[3]Sheet1!$A:$C,3,FALSE)</f>
        <v>FLAIR</v>
      </c>
    </row>
    <row r="197" spans="1:11" x14ac:dyDescent="0.25">
      <c r="A197" s="2" t="s">
        <v>200</v>
      </c>
      <c r="B197">
        <v>66</v>
      </c>
      <c r="C197" t="s">
        <v>4</v>
      </c>
      <c r="D197" t="str">
        <f>VLOOKUP(A197,[1]Sheet1!$A:$D,2,FALSE)</f>
        <v>SIEMENS</v>
      </c>
      <c r="E197" t="str">
        <f>VLOOKUP(A197,[1]Sheet1!$A:$D,3,FALSE)</f>
        <v>Aera</v>
      </c>
      <c r="F197">
        <f>VLOOKUP(A197,[1]Sheet1!$A:$D,4,FALSE)</f>
        <v>1.5</v>
      </c>
      <c r="G197">
        <f>VLOOKUP(A197,[2]Sheet1!$A:$D,2,FALSE)</f>
        <v>0</v>
      </c>
      <c r="H197">
        <f>VLOOKUP(A197,[2]Sheet1!$A:$D,3,FALSE)</f>
        <v>0</v>
      </c>
      <c r="I197">
        <f>VLOOKUP(A197,[2]Sheet1!$A:$D,4,FALSE)</f>
        <v>4</v>
      </c>
      <c r="J197" t="str">
        <f>VLOOKUP(A197,[3]Sheet1!$A:$C,2,FALSE)</f>
        <v>OBS1</v>
      </c>
      <c r="K197" t="str">
        <f>VLOOKUP(A197,[3]Sheet1!$A:$C,3,FALSE)</f>
        <v>T2</v>
      </c>
    </row>
    <row r="198" spans="1:11" x14ac:dyDescent="0.25">
      <c r="A198" s="2" t="s">
        <v>201</v>
      </c>
      <c r="B198">
        <v>49</v>
      </c>
      <c r="C198" t="s">
        <v>4</v>
      </c>
      <c r="D198" t="str">
        <f>VLOOKUP(A198,[1]Sheet1!$A:$D,2,FALSE)</f>
        <v>SIEMENS</v>
      </c>
      <c r="E198" t="str">
        <f>VLOOKUP(A198,[1]Sheet1!$A:$D,3,FALSE)</f>
        <v>Aera</v>
      </c>
      <c r="F198">
        <f>VLOOKUP(A198,[1]Sheet1!$A:$D,4,FALSE)</f>
        <v>1.5</v>
      </c>
      <c r="G198">
        <f>VLOOKUP(A198,[2]Sheet1!$A:$D,2,FALSE)</f>
        <v>0</v>
      </c>
      <c r="H198">
        <f>VLOOKUP(A198,[2]Sheet1!$A:$D,3,FALSE)</f>
        <v>0</v>
      </c>
      <c r="I198">
        <f>VLOOKUP(A198,[2]Sheet1!$A:$D,4,FALSE)</f>
        <v>4</v>
      </c>
      <c r="J198" t="str">
        <f>VLOOKUP(A198,[3]Sheet1!$A:$C,2,FALSE)</f>
        <v>AUTO</v>
      </c>
      <c r="K198" t="str">
        <f>VLOOKUP(A198,[3]Sheet1!$A:$C,3,FALSE)</f>
        <v>ALL</v>
      </c>
    </row>
    <row r="199" spans="1:11" x14ac:dyDescent="0.25">
      <c r="A199" s="2" t="s">
        <v>202</v>
      </c>
      <c r="B199">
        <v>56</v>
      </c>
      <c r="C199" t="s">
        <v>7</v>
      </c>
      <c r="D199" t="str">
        <f>VLOOKUP(A199,[1]Sheet1!$A:$D,2,FALSE)</f>
        <v>GE MEDICAL SYSTEMS</v>
      </c>
      <c r="E199" t="str">
        <f>VLOOKUP(A199,[1]Sheet1!$A:$D,3,FALSE)</f>
        <v>DISCOVERY MR750</v>
      </c>
      <c r="F199">
        <f>VLOOKUP(A199,[1]Sheet1!$A:$D,4,FALSE)</f>
        <v>3</v>
      </c>
      <c r="G199">
        <f>VLOOKUP(A199,[2]Sheet1!$A:$D,2,FALSE)</f>
        <v>0</v>
      </c>
      <c r="H199">
        <f>VLOOKUP(A199,[2]Sheet1!$A:$D,3,FALSE)</f>
        <v>0</v>
      </c>
      <c r="I199">
        <f>VLOOKUP(A199,[2]Sheet1!$A:$D,4,FALSE)</f>
        <v>4</v>
      </c>
      <c r="J199" t="str">
        <f>VLOOKUP(A199,[3]Sheet1!$A:$C,2,FALSE)</f>
        <v>OBS1</v>
      </c>
      <c r="K199" t="str">
        <f>VLOOKUP(A199,[3]Sheet1!$A:$C,3,FALSE)</f>
        <v>T2</v>
      </c>
    </row>
    <row r="200" spans="1:11" x14ac:dyDescent="0.25">
      <c r="A200" s="2" t="s">
        <v>203</v>
      </c>
      <c r="B200">
        <v>49</v>
      </c>
      <c r="C200" t="s">
        <v>4</v>
      </c>
      <c r="D200" t="str">
        <f>VLOOKUP(A200,[1]Sheet1!$A:$D,2,FALSE)</f>
        <v>GE MEDICAL SYSTEMS</v>
      </c>
      <c r="E200" t="str">
        <f>VLOOKUP(A200,[1]Sheet1!$A:$D,3,FALSE)</f>
        <v>DISCOVERY MR750</v>
      </c>
      <c r="F200">
        <f>VLOOKUP(A200,[1]Sheet1!$A:$D,4,FALSE)</f>
        <v>3</v>
      </c>
      <c r="G200">
        <f>VLOOKUP(A200,[2]Sheet1!$A:$D,2,FALSE)</f>
        <v>1</v>
      </c>
      <c r="H200">
        <f>VLOOKUP(A200,[2]Sheet1!$A:$D,3,FALSE)</f>
        <v>1</v>
      </c>
      <c r="I200">
        <f>VLOOKUP(A200,[2]Sheet1!$A:$D,4,FALSE)</f>
        <v>2</v>
      </c>
      <c r="J200" t="str">
        <f>VLOOKUP(A200,[3]Sheet1!$A:$C,2,FALSE)</f>
        <v>OBS1</v>
      </c>
      <c r="K200" t="str">
        <f>VLOOKUP(A200,[3]Sheet1!$A:$C,3,FALSE)</f>
        <v>T2</v>
      </c>
    </row>
    <row r="201" spans="1:11" x14ac:dyDescent="0.25">
      <c r="A201" s="2" t="s">
        <v>204</v>
      </c>
      <c r="B201">
        <v>71</v>
      </c>
      <c r="C201" t="s">
        <v>7</v>
      </c>
      <c r="D201" t="str">
        <f>VLOOKUP(A201,[1]Sheet1!$A:$D,2,FALSE)</f>
        <v>SIEMENS</v>
      </c>
      <c r="E201" t="str">
        <f>VLOOKUP(A201,[1]Sheet1!$A:$D,3,FALSE)</f>
        <v>Avanto</v>
      </c>
      <c r="F201">
        <f>VLOOKUP(A201,[1]Sheet1!$A:$D,4,FALSE)</f>
        <v>1.5</v>
      </c>
      <c r="G201">
        <f>VLOOKUP(A201,[2]Sheet1!$A:$D,2,FALSE)</f>
        <v>-1</v>
      </c>
      <c r="H201">
        <f>VLOOKUP(A201,[2]Sheet1!$A:$D,3,FALSE)</f>
        <v>-1</v>
      </c>
      <c r="I201">
        <f>VLOOKUP(A201,[2]Sheet1!$A:$D,4,FALSE)</f>
        <v>4</v>
      </c>
      <c r="J201" t="str">
        <f>VLOOKUP(A201,[3]Sheet1!$A:$C,2,FALSE)</f>
        <v>OBS1</v>
      </c>
      <c r="K201" t="str">
        <f>VLOOKUP(A201,[3]Sheet1!$A:$C,3,FALSE)</f>
        <v>FLAIR</v>
      </c>
    </row>
    <row r="202" spans="1:11" x14ac:dyDescent="0.25">
      <c r="A202" s="2" t="s">
        <v>205</v>
      </c>
      <c r="B202">
        <v>60</v>
      </c>
      <c r="C202" t="s">
        <v>4</v>
      </c>
      <c r="D202" t="str">
        <f>VLOOKUP(A202,[1]Sheet1!$A:$D,2,FALSE)</f>
        <v>SIEMENS</v>
      </c>
      <c r="E202" t="str">
        <f>VLOOKUP(A202,[1]Sheet1!$A:$D,3,FALSE)</f>
        <v>Aera</v>
      </c>
      <c r="F202">
        <f>VLOOKUP(A202,[1]Sheet1!$A:$D,4,FALSE)</f>
        <v>1.5</v>
      </c>
      <c r="G202">
        <f>VLOOKUP(A202,[2]Sheet1!$A:$D,2,FALSE)</f>
        <v>-1</v>
      </c>
      <c r="H202">
        <f>VLOOKUP(A202,[2]Sheet1!$A:$D,3,FALSE)</f>
        <v>-1</v>
      </c>
      <c r="I202">
        <f>VLOOKUP(A202,[2]Sheet1!$A:$D,4,FALSE)</f>
        <v>4</v>
      </c>
      <c r="J202" t="str">
        <f>VLOOKUP(A202,[3]Sheet1!$A:$C,2,FALSE)</f>
        <v>OBS1</v>
      </c>
      <c r="K202" t="str">
        <f>VLOOKUP(A202,[3]Sheet1!$A:$C,3,FALSE)</f>
        <v>T2</v>
      </c>
    </row>
    <row r="203" spans="1:11" x14ac:dyDescent="0.25">
      <c r="A203" s="2" t="s">
        <v>206</v>
      </c>
      <c r="B203">
        <v>59</v>
      </c>
      <c r="C203" t="s">
        <v>4</v>
      </c>
      <c r="D203" t="str">
        <f>VLOOKUP(A203,[1]Sheet1!$A:$D,2,FALSE)</f>
        <v>SIEMENS</v>
      </c>
      <c r="E203" t="str">
        <f>VLOOKUP(A203,[1]Sheet1!$A:$D,3,FALSE)</f>
        <v>Avanto</v>
      </c>
      <c r="F203">
        <f>VLOOKUP(A203,[1]Sheet1!$A:$D,4,FALSE)</f>
        <v>1.5</v>
      </c>
      <c r="G203">
        <f>VLOOKUP(A203,[2]Sheet1!$A:$D,2,FALSE)</f>
        <v>0</v>
      </c>
      <c r="H203">
        <f>VLOOKUP(A203,[2]Sheet1!$A:$D,3,FALSE)</f>
        <v>0</v>
      </c>
      <c r="I203">
        <f>VLOOKUP(A203,[2]Sheet1!$A:$D,4,FALSE)</f>
        <v>4</v>
      </c>
      <c r="J203" t="str">
        <f>VLOOKUP(A203,[3]Sheet1!$A:$C,2,FALSE)</f>
        <v>OBS1</v>
      </c>
      <c r="K203" t="str">
        <f>VLOOKUP(A203,[3]Sheet1!$A:$C,3,FALSE)</f>
        <v>T2</v>
      </c>
    </row>
    <row r="204" spans="1:11" x14ac:dyDescent="0.25">
      <c r="A204" s="2" t="s">
        <v>207</v>
      </c>
      <c r="B204">
        <v>35</v>
      </c>
      <c r="C204" t="s">
        <v>7</v>
      </c>
      <c r="D204" t="str">
        <f>VLOOKUP(A204,[1]Sheet1!$A:$D,2,FALSE)</f>
        <v>SIEMENS</v>
      </c>
      <c r="E204" t="str">
        <f>VLOOKUP(A204,[1]Sheet1!$A:$D,3,FALSE)</f>
        <v>Harmony</v>
      </c>
      <c r="F204">
        <f>VLOOKUP(A204,[1]Sheet1!$A:$D,4,FALSE)</f>
        <v>1</v>
      </c>
      <c r="G204">
        <f>VLOOKUP(A204,[2]Sheet1!$A:$D,2,FALSE)</f>
        <v>1</v>
      </c>
      <c r="H204">
        <f>VLOOKUP(A204,[2]Sheet1!$A:$D,3,FALSE)</f>
        <v>0</v>
      </c>
      <c r="I204">
        <f>VLOOKUP(A204,[2]Sheet1!$A:$D,4,FALSE)</f>
        <v>2</v>
      </c>
      <c r="J204" t="str">
        <f>VLOOKUP(A204,[3]Sheet1!$A:$C,2,FALSE)</f>
        <v>OBS2</v>
      </c>
      <c r="K204" t="str">
        <f>VLOOKUP(A204,[3]Sheet1!$A:$C,3,FALSE)</f>
        <v>FLAIR</v>
      </c>
    </row>
    <row r="205" spans="1:11" x14ac:dyDescent="0.25">
      <c r="A205" s="2" t="s">
        <v>208</v>
      </c>
      <c r="B205">
        <v>79</v>
      </c>
      <c r="C205" t="s">
        <v>4</v>
      </c>
      <c r="D205" t="str">
        <f>VLOOKUP(A205,[1]Sheet1!$A:$D,2,FALSE)</f>
        <v>Philips Healthcare</v>
      </c>
      <c r="E205" t="str">
        <f>VLOOKUP(A205,[1]Sheet1!$A:$D,3,FALSE)</f>
        <v>Ingenia</v>
      </c>
      <c r="F205">
        <f>VLOOKUP(A205,[1]Sheet1!$A:$D,4,FALSE)</f>
        <v>3</v>
      </c>
      <c r="G205">
        <f>VLOOKUP(A205,[2]Sheet1!$A:$D,2,FALSE)</f>
        <v>0</v>
      </c>
      <c r="H205">
        <f>VLOOKUP(A205,[2]Sheet1!$A:$D,3,FALSE)</f>
        <v>-1</v>
      </c>
      <c r="I205">
        <f>VLOOKUP(A205,[2]Sheet1!$A:$D,4,FALSE)</f>
        <v>4</v>
      </c>
      <c r="J205" t="str">
        <f>VLOOKUP(A205,[3]Sheet1!$A:$C,2,FALSE)</f>
        <v>OBS1</v>
      </c>
      <c r="K205" t="str">
        <f>VLOOKUP(A205,[3]Sheet1!$A:$C,3,FALSE)</f>
        <v>T2</v>
      </c>
    </row>
    <row r="206" spans="1:11" x14ac:dyDescent="0.25">
      <c r="A206" s="2" t="s">
        <v>209</v>
      </c>
      <c r="B206">
        <v>41</v>
      </c>
      <c r="C206" t="s">
        <v>4</v>
      </c>
      <c r="D206" t="str">
        <f>VLOOKUP(A206,[1]Sheet1!$A:$D,2,FALSE)</f>
        <v>SIEMENS</v>
      </c>
      <c r="E206" t="str">
        <f>VLOOKUP(A206,[1]Sheet1!$A:$D,3,FALSE)</f>
        <v>Symphony</v>
      </c>
      <c r="F206">
        <f>VLOOKUP(A206,[1]Sheet1!$A:$D,4,FALSE)</f>
        <v>1.5</v>
      </c>
      <c r="G206">
        <f>VLOOKUP(A206,[2]Sheet1!$A:$D,2,FALSE)</f>
        <v>-1</v>
      </c>
      <c r="H206">
        <f>VLOOKUP(A206,[2]Sheet1!$A:$D,3,FALSE)</f>
        <v>-1</v>
      </c>
      <c r="I206">
        <f>VLOOKUP(A206,[2]Sheet1!$A:$D,4,FALSE)</f>
        <v>4</v>
      </c>
      <c r="J206" t="str">
        <f>VLOOKUP(A206,[3]Sheet1!$A:$C,2,FALSE)</f>
        <v>AUTO</v>
      </c>
      <c r="K206" t="str">
        <f>VLOOKUP(A206,[3]Sheet1!$A:$C,3,FALSE)</f>
        <v>ALL</v>
      </c>
    </row>
    <row r="207" spans="1:11" x14ac:dyDescent="0.25">
      <c r="A207" s="2" t="s">
        <v>210</v>
      </c>
      <c r="B207">
        <v>62</v>
      </c>
      <c r="C207" t="s">
        <v>4</v>
      </c>
      <c r="D207" t="str">
        <f>VLOOKUP(A207,[1]Sheet1!$A:$D,2,FALSE)</f>
        <v>GE MEDICAL SYSTEMS</v>
      </c>
      <c r="E207" t="str">
        <f>VLOOKUP(A207,[1]Sheet1!$A:$D,3,FALSE)</f>
        <v>DISCOVERY MR450</v>
      </c>
      <c r="F207">
        <f>VLOOKUP(A207,[1]Sheet1!$A:$D,4,FALSE)</f>
        <v>1.5</v>
      </c>
      <c r="G207">
        <f>VLOOKUP(A207,[2]Sheet1!$A:$D,2,FALSE)</f>
        <v>0</v>
      </c>
      <c r="H207">
        <f>VLOOKUP(A207,[2]Sheet1!$A:$D,3,FALSE)</f>
        <v>-1</v>
      </c>
      <c r="I207">
        <f>VLOOKUP(A207,[2]Sheet1!$A:$D,4,FALSE)</f>
        <v>4</v>
      </c>
      <c r="J207" t="str">
        <f>VLOOKUP(A207,[3]Sheet1!$A:$C,2,FALSE)</f>
        <v>OBS1</v>
      </c>
      <c r="K207" t="str">
        <f>VLOOKUP(A207,[3]Sheet1!$A:$C,3,FALSE)</f>
        <v>T2</v>
      </c>
    </row>
    <row r="208" spans="1:11" x14ac:dyDescent="0.25">
      <c r="A208" s="2" t="s">
        <v>211</v>
      </c>
      <c r="B208">
        <v>65</v>
      </c>
      <c r="C208" t="s">
        <v>4</v>
      </c>
      <c r="D208" t="str">
        <f>VLOOKUP(A208,[1]Sheet1!$A:$D,2,FALSE)</f>
        <v>Philips Medical Systems</v>
      </c>
      <c r="E208" t="str">
        <f>VLOOKUP(A208,[1]Sheet1!$A:$D,3,FALSE)</f>
        <v>Intera</v>
      </c>
      <c r="F208">
        <f>VLOOKUP(A208,[1]Sheet1!$A:$D,4,FALSE)</f>
        <v>1.5</v>
      </c>
      <c r="G208">
        <f>VLOOKUP(A208,[2]Sheet1!$A:$D,2,FALSE)</f>
        <v>-1</v>
      </c>
      <c r="H208">
        <f>VLOOKUP(A208,[2]Sheet1!$A:$D,3,FALSE)</f>
        <v>-1</v>
      </c>
      <c r="I208">
        <f>VLOOKUP(A208,[2]Sheet1!$A:$D,4,FALSE)</f>
        <v>4</v>
      </c>
      <c r="J208" t="str">
        <f>VLOOKUP(A208,[3]Sheet1!$A:$C,2,FALSE)</f>
        <v>AUTO</v>
      </c>
      <c r="K208" t="str">
        <f>VLOOKUP(A208,[3]Sheet1!$A:$C,3,FALSE)</f>
        <v>ALL</v>
      </c>
    </row>
    <row r="209" spans="1:11" x14ac:dyDescent="0.25">
      <c r="A209" s="2" t="s">
        <v>212</v>
      </c>
      <c r="B209">
        <v>41</v>
      </c>
      <c r="C209" t="s">
        <v>4</v>
      </c>
      <c r="D209" t="str">
        <f>VLOOKUP(A209,[1]Sheet1!$A:$D,2,FALSE)</f>
        <v>SIEMENS</v>
      </c>
      <c r="E209" t="str">
        <f>VLOOKUP(A209,[1]Sheet1!$A:$D,3,FALSE)</f>
        <v>Symphony</v>
      </c>
      <c r="F209">
        <f>VLOOKUP(A209,[1]Sheet1!$A:$D,4,FALSE)</f>
        <v>1.5</v>
      </c>
      <c r="G209">
        <f>VLOOKUP(A209,[2]Sheet1!$A:$D,2,FALSE)</f>
        <v>1</v>
      </c>
      <c r="H209">
        <f>VLOOKUP(A209,[2]Sheet1!$A:$D,3,FALSE)</f>
        <v>0</v>
      </c>
      <c r="I209">
        <f>VLOOKUP(A209,[2]Sheet1!$A:$D,4,FALSE)</f>
        <v>2</v>
      </c>
      <c r="J209" t="str">
        <f>VLOOKUP(A209,[3]Sheet1!$A:$C,2,FALSE)</f>
        <v>OBS2</v>
      </c>
      <c r="K209" t="str">
        <f>VLOOKUP(A209,[3]Sheet1!$A:$C,3,FALSE)</f>
        <v>FLAIR</v>
      </c>
    </row>
    <row r="210" spans="1:11" x14ac:dyDescent="0.25">
      <c r="A210" s="2" t="s">
        <v>213</v>
      </c>
      <c r="B210">
        <v>60</v>
      </c>
      <c r="C210" t="s">
        <v>7</v>
      </c>
      <c r="D210" t="str">
        <f>VLOOKUP(A210,[1]Sheet1!$A:$D,2,FALSE)</f>
        <v>Philips Medical Systems</v>
      </c>
      <c r="E210" t="str">
        <f>VLOOKUP(A210,[1]Sheet1!$A:$D,3,FALSE)</f>
        <v>Intera</v>
      </c>
      <c r="F210">
        <f>VLOOKUP(A210,[1]Sheet1!$A:$D,4,FALSE)</f>
        <v>1.5</v>
      </c>
      <c r="G210">
        <f>VLOOKUP(A210,[2]Sheet1!$A:$D,2,FALSE)</f>
        <v>-1</v>
      </c>
      <c r="H210">
        <f>VLOOKUP(A210,[2]Sheet1!$A:$D,3,FALSE)</f>
        <v>-1</v>
      </c>
      <c r="I210">
        <f>VLOOKUP(A210,[2]Sheet1!$A:$D,4,FALSE)</f>
        <v>4</v>
      </c>
      <c r="J210" t="str">
        <f>VLOOKUP(A210,[3]Sheet1!$A:$C,2,FALSE)</f>
        <v>AUTO</v>
      </c>
      <c r="K210" t="str">
        <f>VLOOKUP(A210,[3]Sheet1!$A:$C,3,FALSE)</f>
        <v>ALL</v>
      </c>
    </row>
    <row r="211" spans="1:11" x14ac:dyDescent="0.25">
      <c r="A211" s="2" t="s">
        <v>214</v>
      </c>
      <c r="B211">
        <v>63</v>
      </c>
      <c r="C211" t="s">
        <v>4</v>
      </c>
      <c r="D211" t="str">
        <f>VLOOKUP(A211,[1]Sheet1!$A:$D,2,FALSE)</f>
        <v>GE MEDICAL SYSTEMS</v>
      </c>
      <c r="E211" t="str">
        <f>VLOOKUP(A211,[1]Sheet1!$A:$D,3,FALSE)</f>
        <v>GENESIS_SIGNA</v>
      </c>
      <c r="F211">
        <f>VLOOKUP(A211,[1]Sheet1!$A:$D,4,FALSE)</f>
        <v>1</v>
      </c>
      <c r="G211">
        <f>VLOOKUP(A211,[2]Sheet1!$A:$D,2,FALSE)</f>
        <v>-1</v>
      </c>
      <c r="H211">
        <f>VLOOKUP(A211,[2]Sheet1!$A:$D,3,FALSE)</f>
        <v>0</v>
      </c>
      <c r="I211">
        <f>VLOOKUP(A211,[2]Sheet1!$A:$D,4,FALSE)</f>
        <v>-1</v>
      </c>
      <c r="J211" t="str">
        <f>VLOOKUP(A211,[3]Sheet1!$A:$C,2,FALSE)</f>
        <v>AUTO</v>
      </c>
      <c r="K211" t="str">
        <f>VLOOKUP(A211,[3]Sheet1!$A:$C,3,FALSE)</f>
        <v>ALL</v>
      </c>
    </row>
    <row r="212" spans="1:11" x14ac:dyDescent="0.25">
      <c r="A212" s="2" t="s">
        <v>215</v>
      </c>
      <c r="B212">
        <v>46</v>
      </c>
      <c r="C212" t="s">
        <v>4</v>
      </c>
      <c r="D212" t="str">
        <f>VLOOKUP(A212,[1]Sheet1!$A:$D,2,FALSE)</f>
        <v>GE MEDICAL SYSTEMS</v>
      </c>
      <c r="E212" t="str">
        <f>VLOOKUP(A212,[1]Sheet1!$A:$D,3,FALSE)</f>
        <v>Signa HDxt</v>
      </c>
      <c r="F212">
        <f>VLOOKUP(A212,[1]Sheet1!$A:$D,4,FALSE)</f>
        <v>1.5</v>
      </c>
      <c r="G212">
        <f>VLOOKUP(A212,[2]Sheet1!$A:$D,2,FALSE)</f>
        <v>1</v>
      </c>
      <c r="H212">
        <f>VLOOKUP(A212,[2]Sheet1!$A:$D,3,FALSE)</f>
        <v>0</v>
      </c>
      <c r="I212">
        <f>VLOOKUP(A212,[2]Sheet1!$A:$D,4,FALSE)</f>
        <v>2</v>
      </c>
      <c r="J212" t="str">
        <f>VLOOKUP(A212,[3]Sheet1!$A:$C,2,FALSE)</f>
        <v>OBS1</v>
      </c>
      <c r="K212" t="str">
        <f>VLOOKUP(A212,[3]Sheet1!$A:$C,3,FALSE)</f>
        <v>FLAIR</v>
      </c>
    </row>
    <row r="213" spans="1:11" x14ac:dyDescent="0.25">
      <c r="A213" s="2" t="s">
        <v>216</v>
      </c>
      <c r="B213">
        <v>80</v>
      </c>
      <c r="C213" t="s">
        <v>7</v>
      </c>
      <c r="D213" t="str">
        <f>VLOOKUP(A213,[1]Sheet1!$A:$D,2,FALSE)</f>
        <v>SIEMENS</v>
      </c>
      <c r="E213" t="str">
        <f>VLOOKUP(A213,[1]Sheet1!$A:$D,3,FALSE)</f>
        <v>Avanto</v>
      </c>
      <c r="F213">
        <f>VLOOKUP(A213,[1]Sheet1!$A:$D,4,FALSE)</f>
        <v>1.5</v>
      </c>
      <c r="G213">
        <f>VLOOKUP(A213,[2]Sheet1!$A:$D,2,FALSE)</f>
        <v>-1</v>
      </c>
      <c r="H213">
        <f>VLOOKUP(A213,[2]Sheet1!$A:$D,3,FALSE)</f>
        <v>-1</v>
      </c>
      <c r="I213">
        <f>VLOOKUP(A213,[2]Sheet1!$A:$D,4,FALSE)</f>
        <v>4</v>
      </c>
      <c r="J213" t="str">
        <f>VLOOKUP(A213,[3]Sheet1!$A:$C,2,FALSE)</f>
        <v>OBS1</v>
      </c>
      <c r="K213" t="str">
        <f>VLOOKUP(A213,[3]Sheet1!$A:$C,3,FALSE)</f>
        <v>FLAIR</v>
      </c>
    </row>
    <row r="214" spans="1:11" x14ac:dyDescent="0.25">
      <c r="A214" s="2" t="s">
        <v>217</v>
      </c>
      <c r="B214">
        <v>53</v>
      </c>
      <c r="C214" t="s">
        <v>4</v>
      </c>
      <c r="D214" t="str">
        <f>VLOOKUP(A214,[1]Sheet1!$A:$D,2,FALSE)</f>
        <v>GE MEDICAL SYSTEMS</v>
      </c>
      <c r="E214" t="str">
        <f>VLOOKUP(A214,[1]Sheet1!$A:$D,3,FALSE)</f>
        <v>DISCOVERY MR750</v>
      </c>
      <c r="F214">
        <f>VLOOKUP(A214,[1]Sheet1!$A:$D,4,FALSE)</f>
        <v>3</v>
      </c>
      <c r="G214">
        <f>VLOOKUP(A214,[2]Sheet1!$A:$D,2,FALSE)</f>
        <v>0</v>
      </c>
      <c r="H214">
        <f>VLOOKUP(A214,[2]Sheet1!$A:$D,3,FALSE)</f>
        <v>-1</v>
      </c>
      <c r="I214">
        <f>VLOOKUP(A214,[2]Sheet1!$A:$D,4,FALSE)</f>
        <v>4</v>
      </c>
      <c r="J214" t="str">
        <f>VLOOKUP(A214,[3]Sheet1!$A:$C,2,FALSE)</f>
        <v>OBS1</v>
      </c>
      <c r="K214" t="str">
        <f>VLOOKUP(A214,[3]Sheet1!$A:$C,3,FALSE)</f>
        <v>T2</v>
      </c>
    </row>
    <row r="215" spans="1:11" x14ac:dyDescent="0.25">
      <c r="A215" s="2" t="s">
        <v>218</v>
      </c>
      <c r="B215">
        <v>61</v>
      </c>
      <c r="C215" t="s">
        <v>4</v>
      </c>
      <c r="D215" t="str">
        <f>VLOOKUP(A215,[1]Sheet1!$A:$D,2,FALSE)</f>
        <v>SIEMENS</v>
      </c>
      <c r="E215" t="str">
        <f>VLOOKUP(A215,[1]Sheet1!$A:$D,3,FALSE)</f>
        <v>Symphony</v>
      </c>
      <c r="F215">
        <f>VLOOKUP(A215,[1]Sheet1!$A:$D,4,FALSE)</f>
        <v>1.5</v>
      </c>
      <c r="G215">
        <f>VLOOKUP(A215,[2]Sheet1!$A:$D,2,FALSE)</f>
        <v>1</v>
      </c>
      <c r="H215">
        <f>VLOOKUP(A215,[2]Sheet1!$A:$D,3,FALSE)</f>
        <v>1</v>
      </c>
      <c r="I215">
        <f>VLOOKUP(A215,[2]Sheet1!$A:$D,4,FALSE)</f>
        <v>2</v>
      </c>
      <c r="J215" t="str">
        <f>VLOOKUP(A215,[3]Sheet1!$A:$C,2,FALSE)</f>
        <v>AUTO</v>
      </c>
      <c r="K215" t="str">
        <f>VLOOKUP(A215,[3]Sheet1!$A:$C,3,FALSE)</f>
        <v>ALL</v>
      </c>
    </row>
    <row r="216" spans="1:11" x14ac:dyDescent="0.25">
      <c r="A216" s="2" t="s">
        <v>219</v>
      </c>
      <c r="B216">
        <v>61</v>
      </c>
      <c r="C216" t="s">
        <v>4</v>
      </c>
      <c r="D216" t="str">
        <f>VLOOKUP(A216,[1]Sheet1!$A:$D,2,FALSE)</f>
        <v>SIEMENS</v>
      </c>
      <c r="E216" t="str">
        <f>VLOOKUP(A216,[1]Sheet1!$A:$D,3,FALSE)</f>
        <v>Avanto</v>
      </c>
      <c r="F216">
        <f>VLOOKUP(A216,[1]Sheet1!$A:$D,4,FALSE)</f>
        <v>1.5</v>
      </c>
      <c r="G216">
        <f>VLOOKUP(A216,[2]Sheet1!$A:$D,2,FALSE)</f>
        <v>0</v>
      </c>
      <c r="H216">
        <f>VLOOKUP(A216,[2]Sheet1!$A:$D,3,FALSE)</f>
        <v>-1</v>
      </c>
      <c r="I216">
        <f>VLOOKUP(A216,[2]Sheet1!$A:$D,4,FALSE)</f>
        <v>4</v>
      </c>
      <c r="J216" t="str">
        <f>VLOOKUP(A216,[3]Sheet1!$A:$C,2,FALSE)</f>
        <v>AUTO</v>
      </c>
      <c r="K216" t="str">
        <f>VLOOKUP(A216,[3]Sheet1!$A:$C,3,FALSE)</f>
        <v>ALL</v>
      </c>
    </row>
    <row r="217" spans="1:11" x14ac:dyDescent="0.25">
      <c r="A217" s="2" t="s">
        <v>220</v>
      </c>
      <c r="B217">
        <v>72</v>
      </c>
      <c r="C217" t="s">
        <v>4</v>
      </c>
      <c r="D217" t="str">
        <f>VLOOKUP(A217,[1]Sheet1!$A:$D,2,FALSE)</f>
        <v>SIEMENS</v>
      </c>
      <c r="E217" t="str">
        <f>VLOOKUP(A217,[1]Sheet1!$A:$D,3,FALSE)</f>
        <v>Skyra</v>
      </c>
      <c r="F217">
        <f>VLOOKUP(A217,[1]Sheet1!$A:$D,4,FALSE)</f>
        <v>3</v>
      </c>
      <c r="G217">
        <f>VLOOKUP(A217,[2]Sheet1!$A:$D,2,FALSE)</f>
        <v>0</v>
      </c>
      <c r="H217">
        <f>VLOOKUP(A217,[2]Sheet1!$A:$D,3,FALSE)</f>
        <v>-1</v>
      </c>
      <c r="I217">
        <f>VLOOKUP(A217,[2]Sheet1!$A:$D,4,FALSE)</f>
        <v>4</v>
      </c>
      <c r="J217" t="str">
        <f>VLOOKUP(A217,[3]Sheet1!$A:$C,2,FALSE)</f>
        <v>OBS1</v>
      </c>
      <c r="K217" t="str">
        <f>VLOOKUP(A217,[3]Sheet1!$A:$C,3,FALSE)</f>
        <v>T2</v>
      </c>
    </row>
    <row r="218" spans="1:11" x14ac:dyDescent="0.25">
      <c r="A218" s="2" t="s">
        <v>221</v>
      </c>
      <c r="B218">
        <v>34</v>
      </c>
      <c r="C218" t="s">
        <v>4</v>
      </c>
      <c r="D218" t="str">
        <f>VLOOKUP(A218,[1]Sheet1!$A:$D,2,FALSE)</f>
        <v>Philips Medical Systems</v>
      </c>
      <c r="E218" t="str">
        <f>VLOOKUP(A218,[1]Sheet1!$A:$D,3,FALSE)</f>
        <v>Intera</v>
      </c>
      <c r="F218">
        <f>VLOOKUP(A218,[1]Sheet1!$A:$D,4,FALSE)</f>
        <v>1.5</v>
      </c>
      <c r="G218">
        <f>VLOOKUP(A218,[2]Sheet1!$A:$D,2,FALSE)</f>
        <v>1</v>
      </c>
      <c r="H218">
        <f>VLOOKUP(A218,[2]Sheet1!$A:$D,3,FALSE)</f>
        <v>1</v>
      </c>
      <c r="I218">
        <f>VLOOKUP(A218,[2]Sheet1!$A:$D,4,FALSE)</f>
        <v>2</v>
      </c>
      <c r="J218" t="str">
        <f>VLOOKUP(A218,[3]Sheet1!$A:$C,2,FALSE)</f>
        <v>OBS2</v>
      </c>
      <c r="K218" t="str">
        <f>VLOOKUP(A218,[3]Sheet1!$A:$C,3,FALSE)</f>
        <v>FLAIR</v>
      </c>
    </row>
    <row r="219" spans="1:11" x14ac:dyDescent="0.25">
      <c r="A219" s="2" t="s">
        <v>222</v>
      </c>
      <c r="B219">
        <v>61</v>
      </c>
      <c r="C219" t="s">
        <v>7</v>
      </c>
      <c r="D219" t="str">
        <f>VLOOKUP(A219,[1]Sheet1!$A:$D,2,FALSE)</f>
        <v>SIEMENS</v>
      </c>
      <c r="E219" t="str">
        <f>VLOOKUP(A219,[1]Sheet1!$A:$D,3,FALSE)</f>
        <v>Skyra</v>
      </c>
      <c r="F219">
        <f>VLOOKUP(A219,[1]Sheet1!$A:$D,4,FALSE)</f>
        <v>3</v>
      </c>
      <c r="G219">
        <f>VLOOKUP(A219,[2]Sheet1!$A:$D,2,FALSE)</f>
        <v>0</v>
      </c>
      <c r="H219">
        <f>VLOOKUP(A219,[2]Sheet1!$A:$D,3,FALSE)</f>
        <v>-1</v>
      </c>
      <c r="I219">
        <f>VLOOKUP(A219,[2]Sheet1!$A:$D,4,FALSE)</f>
        <v>4</v>
      </c>
      <c r="J219" t="str">
        <f>VLOOKUP(A219,[3]Sheet1!$A:$C,2,FALSE)</f>
        <v>OBS1</v>
      </c>
      <c r="K219" t="str">
        <f>VLOOKUP(A219,[3]Sheet1!$A:$C,3,FALSE)</f>
        <v>T2</v>
      </c>
    </row>
    <row r="220" spans="1:11" x14ac:dyDescent="0.25">
      <c r="A220" s="2" t="s">
        <v>223</v>
      </c>
      <c r="B220">
        <v>57</v>
      </c>
      <c r="C220" t="s">
        <v>4</v>
      </c>
      <c r="D220" t="str">
        <f>VLOOKUP(A220,[1]Sheet1!$A:$D,2,FALSE)</f>
        <v>SIEMENS</v>
      </c>
      <c r="E220" t="str">
        <f>VLOOKUP(A220,[1]Sheet1!$A:$D,3,FALSE)</f>
        <v>Aera</v>
      </c>
      <c r="F220">
        <f>VLOOKUP(A220,[1]Sheet1!$A:$D,4,FALSE)</f>
        <v>1.5</v>
      </c>
      <c r="G220">
        <f>VLOOKUP(A220,[2]Sheet1!$A:$D,2,FALSE)</f>
        <v>0</v>
      </c>
      <c r="H220">
        <f>VLOOKUP(A220,[2]Sheet1!$A:$D,3,FALSE)</f>
        <v>-1</v>
      </c>
      <c r="I220">
        <f>VLOOKUP(A220,[2]Sheet1!$A:$D,4,FALSE)</f>
        <v>4</v>
      </c>
      <c r="J220" t="str">
        <f>VLOOKUP(A220,[3]Sheet1!$A:$C,2,FALSE)</f>
        <v>AUTO</v>
      </c>
      <c r="K220" t="str">
        <f>VLOOKUP(A220,[3]Sheet1!$A:$C,3,FALSE)</f>
        <v>ALL</v>
      </c>
    </row>
    <row r="221" spans="1:11" x14ac:dyDescent="0.25">
      <c r="A221" s="2" t="s">
        <v>224</v>
      </c>
      <c r="B221">
        <v>74</v>
      </c>
      <c r="C221" t="s">
        <v>4</v>
      </c>
      <c r="D221" t="str">
        <f>VLOOKUP(A221,[1]Sheet1!$A:$D,2,FALSE)</f>
        <v>Philips Medical Systems</v>
      </c>
      <c r="E221" t="str">
        <f>VLOOKUP(A221,[1]Sheet1!$A:$D,3,FALSE)</f>
        <v>Intera</v>
      </c>
      <c r="F221">
        <f>VLOOKUP(A221,[1]Sheet1!$A:$D,4,FALSE)</f>
        <v>1.5</v>
      </c>
      <c r="G221">
        <f>VLOOKUP(A221,[2]Sheet1!$A:$D,2,FALSE)</f>
        <v>-1</v>
      </c>
      <c r="H221">
        <f>VLOOKUP(A221,[2]Sheet1!$A:$D,3,FALSE)</f>
        <v>-1</v>
      </c>
      <c r="I221">
        <f>VLOOKUP(A221,[2]Sheet1!$A:$D,4,FALSE)</f>
        <v>4</v>
      </c>
      <c r="J221" t="str">
        <f>VLOOKUP(A221,[3]Sheet1!$A:$C,2,FALSE)</f>
        <v>AUTO</v>
      </c>
      <c r="K221" t="str">
        <f>VLOOKUP(A221,[3]Sheet1!$A:$C,3,FALSE)</f>
        <v>ALL</v>
      </c>
    </row>
    <row r="222" spans="1:11" x14ac:dyDescent="0.25">
      <c r="A222" s="2" t="s">
        <v>225</v>
      </c>
      <c r="B222">
        <v>36</v>
      </c>
      <c r="C222" t="s">
        <v>4</v>
      </c>
      <c r="D222" t="str">
        <f>VLOOKUP(A222,[1]Sheet1!$A:$D,2,FALSE)</f>
        <v>SIEMENS</v>
      </c>
      <c r="E222" t="str">
        <f>VLOOKUP(A222,[1]Sheet1!$A:$D,3,FALSE)</f>
        <v>MAGNETOM EXPERT</v>
      </c>
      <c r="F222">
        <f>VLOOKUP(A222,[1]Sheet1!$A:$D,4,FALSE)</f>
        <v>1</v>
      </c>
      <c r="G222">
        <f>VLOOKUP(A222,[2]Sheet1!$A:$D,2,FALSE)</f>
        <v>1</v>
      </c>
      <c r="H222">
        <f>VLOOKUP(A222,[2]Sheet1!$A:$D,3,FALSE)</f>
        <v>1</v>
      </c>
      <c r="I222">
        <f>VLOOKUP(A222,[2]Sheet1!$A:$D,4,FALSE)</f>
        <v>2</v>
      </c>
      <c r="J222" t="str">
        <f>VLOOKUP(A222,[3]Sheet1!$A:$C,2,FALSE)</f>
        <v>AUTO</v>
      </c>
      <c r="K222" t="str">
        <f>VLOOKUP(A222,[3]Sheet1!$A:$C,3,FALSE)</f>
        <v>ALL</v>
      </c>
    </row>
    <row r="223" spans="1:11" x14ac:dyDescent="0.25">
      <c r="A223" s="2" t="s">
        <v>226</v>
      </c>
      <c r="B223">
        <v>74</v>
      </c>
      <c r="C223" t="s">
        <v>7</v>
      </c>
      <c r="D223" t="str">
        <f>VLOOKUP(A223,[1]Sheet1!$A:$D,2,FALSE)</f>
        <v>Philips Medical Systems</v>
      </c>
      <c r="E223" t="str">
        <f>VLOOKUP(A223,[1]Sheet1!$A:$D,3,FALSE)</f>
        <v>Achieva</v>
      </c>
      <c r="F223">
        <f>VLOOKUP(A223,[1]Sheet1!$A:$D,4,FALSE)</f>
        <v>1.5</v>
      </c>
      <c r="G223">
        <f>VLOOKUP(A223,[2]Sheet1!$A:$D,2,FALSE)</f>
        <v>0</v>
      </c>
      <c r="H223">
        <f>VLOOKUP(A223,[2]Sheet1!$A:$D,3,FALSE)</f>
        <v>-1</v>
      </c>
      <c r="I223">
        <f>VLOOKUP(A223,[2]Sheet1!$A:$D,4,FALSE)</f>
        <v>4</v>
      </c>
      <c r="J223" t="str">
        <f>VLOOKUP(A223,[3]Sheet1!$A:$C,2,FALSE)</f>
        <v>OBS1</v>
      </c>
      <c r="K223" t="str">
        <f>VLOOKUP(A223,[3]Sheet1!$A:$C,3,FALSE)</f>
        <v>T2</v>
      </c>
    </row>
    <row r="224" spans="1:11" x14ac:dyDescent="0.25">
      <c r="A224" s="2" t="s">
        <v>227</v>
      </c>
      <c r="B224">
        <v>55</v>
      </c>
      <c r="C224" t="s">
        <v>4</v>
      </c>
      <c r="D224" t="str">
        <f>VLOOKUP(A224,[1]Sheet1!$A:$D,2,FALSE)</f>
        <v>Philips Medical Systems</v>
      </c>
      <c r="E224" t="str">
        <f>VLOOKUP(A224,[1]Sheet1!$A:$D,3,FALSE)</f>
        <v>Achieva dStream</v>
      </c>
      <c r="F224">
        <f>VLOOKUP(A224,[1]Sheet1!$A:$D,4,FALSE)</f>
        <v>1.5</v>
      </c>
      <c r="G224">
        <f>VLOOKUP(A224,[2]Sheet1!$A:$D,2,FALSE)</f>
        <v>0</v>
      </c>
      <c r="H224">
        <f>VLOOKUP(A224,[2]Sheet1!$A:$D,3,FALSE)</f>
        <v>-1</v>
      </c>
      <c r="I224">
        <f>VLOOKUP(A224,[2]Sheet1!$A:$D,4,FALSE)</f>
        <v>4</v>
      </c>
      <c r="J224" t="str">
        <f>VLOOKUP(A224,[3]Sheet1!$A:$C,2,FALSE)</f>
        <v>AUTO</v>
      </c>
      <c r="K224" t="str">
        <f>VLOOKUP(A224,[3]Sheet1!$A:$C,3,FALSE)</f>
        <v>ALL</v>
      </c>
    </row>
    <row r="225" spans="1:11" x14ac:dyDescent="0.25">
      <c r="A225" s="2" t="s">
        <v>228</v>
      </c>
      <c r="B225">
        <v>80</v>
      </c>
      <c r="C225" t="s">
        <v>7</v>
      </c>
      <c r="D225" t="str">
        <f>VLOOKUP(A225,[1]Sheet1!$A:$D,2,FALSE)</f>
        <v>Philips Medical Systems</v>
      </c>
      <c r="E225" t="str">
        <f>VLOOKUP(A225,[1]Sheet1!$A:$D,3,FALSE)</f>
        <v>Achieva</v>
      </c>
      <c r="F225">
        <f>VLOOKUP(A225,[1]Sheet1!$A:$D,4,FALSE)</f>
        <v>1.5</v>
      </c>
      <c r="G225">
        <f>VLOOKUP(A225,[2]Sheet1!$A:$D,2,FALSE)</f>
        <v>0</v>
      </c>
      <c r="H225">
        <f>VLOOKUP(A225,[2]Sheet1!$A:$D,3,FALSE)</f>
        <v>-1</v>
      </c>
      <c r="I225">
        <f>VLOOKUP(A225,[2]Sheet1!$A:$D,4,FALSE)</f>
        <v>4</v>
      </c>
      <c r="J225" t="str">
        <f>VLOOKUP(A225,[3]Sheet1!$A:$C,2,FALSE)</f>
        <v>OBS1</v>
      </c>
      <c r="K225" t="str">
        <f>VLOOKUP(A225,[3]Sheet1!$A:$C,3,FALSE)</f>
        <v>T2</v>
      </c>
    </row>
    <row r="226" spans="1:11" x14ac:dyDescent="0.25">
      <c r="A226" s="2" t="s">
        <v>229</v>
      </c>
      <c r="B226">
        <v>47</v>
      </c>
      <c r="C226" t="s">
        <v>4</v>
      </c>
      <c r="D226" t="str">
        <f>VLOOKUP(A226,[1]Sheet1!$A:$D,2,FALSE)</f>
        <v>SIEMENS</v>
      </c>
      <c r="E226" t="str">
        <f>VLOOKUP(A226,[1]Sheet1!$A:$D,3,FALSE)</f>
        <v>Harmony</v>
      </c>
      <c r="F226">
        <f>VLOOKUP(A226,[1]Sheet1!$A:$D,4,FALSE)</f>
        <v>1</v>
      </c>
      <c r="G226">
        <f>VLOOKUP(A226,[2]Sheet1!$A:$D,2,FALSE)</f>
        <v>-1</v>
      </c>
      <c r="H226">
        <f>VLOOKUP(A226,[2]Sheet1!$A:$D,3,FALSE)</f>
        <v>-1</v>
      </c>
      <c r="I226">
        <f>VLOOKUP(A226,[2]Sheet1!$A:$D,4,FALSE)</f>
        <v>4</v>
      </c>
      <c r="J226" t="str">
        <f>VLOOKUP(A226,[3]Sheet1!$A:$C,2,FALSE)</f>
        <v>OBS1</v>
      </c>
      <c r="K226" t="str">
        <f>VLOOKUP(A226,[3]Sheet1!$A:$C,3,FALSE)</f>
        <v>FLAIR</v>
      </c>
    </row>
    <row r="227" spans="1:11" x14ac:dyDescent="0.25">
      <c r="A227" s="2" t="s">
        <v>230</v>
      </c>
      <c r="B227">
        <v>33</v>
      </c>
      <c r="C227" t="s">
        <v>7</v>
      </c>
      <c r="D227" t="str">
        <f>VLOOKUP(A227,[1]Sheet1!$A:$D,2,FALSE)</f>
        <v>Philips Medical Systems</v>
      </c>
      <c r="E227" t="str">
        <f>VLOOKUP(A227,[1]Sheet1!$A:$D,3,FALSE)</f>
        <v>Ingenia</v>
      </c>
      <c r="F227">
        <f>VLOOKUP(A227,[1]Sheet1!$A:$D,4,FALSE)</f>
        <v>1.5</v>
      </c>
      <c r="G227">
        <f>VLOOKUP(A227,[2]Sheet1!$A:$D,2,FALSE)</f>
        <v>0</v>
      </c>
      <c r="H227">
        <f>VLOOKUP(A227,[2]Sheet1!$A:$D,3,FALSE)</f>
        <v>0</v>
      </c>
      <c r="I227">
        <f>VLOOKUP(A227,[2]Sheet1!$A:$D,4,FALSE)</f>
        <v>4</v>
      </c>
      <c r="J227" t="str">
        <f>VLOOKUP(A227,[3]Sheet1!$A:$C,2,FALSE)</f>
        <v>OBS1</v>
      </c>
      <c r="K227" t="str">
        <f>VLOOKUP(A227,[3]Sheet1!$A:$C,3,FALSE)</f>
        <v>T2</v>
      </c>
    </row>
    <row r="228" spans="1:11" x14ac:dyDescent="0.25">
      <c r="A228" s="2" t="s">
        <v>231</v>
      </c>
      <c r="B228">
        <v>26</v>
      </c>
      <c r="C228" t="s">
        <v>4</v>
      </c>
      <c r="D228" t="str">
        <f>VLOOKUP(A228,[1]Sheet1!$A:$D,2,FALSE)</f>
        <v>SIEMENS</v>
      </c>
      <c r="E228" t="str">
        <f>VLOOKUP(A228,[1]Sheet1!$A:$D,3,FALSE)</f>
        <v>Symphony</v>
      </c>
      <c r="F228">
        <f>VLOOKUP(A228,[1]Sheet1!$A:$D,4,FALSE)</f>
        <v>1.5</v>
      </c>
      <c r="G228">
        <f>VLOOKUP(A228,[2]Sheet1!$A:$D,2,FALSE)</f>
        <v>1</v>
      </c>
      <c r="H228">
        <f>VLOOKUP(A228,[2]Sheet1!$A:$D,3,FALSE)</f>
        <v>0</v>
      </c>
      <c r="I228">
        <f>VLOOKUP(A228,[2]Sheet1!$A:$D,4,FALSE)</f>
        <v>-1</v>
      </c>
      <c r="J228" t="str">
        <f>VLOOKUP(A228,[3]Sheet1!$A:$C,2,FALSE)</f>
        <v>OBS2</v>
      </c>
      <c r="K228" t="str">
        <f>VLOOKUP(A228,[3]Sheet1!$A:$C,3,FALSE)</f>
        <v>FLAIR</v>
      </c>
    </row>
    <row r="229" spans="1:11" x14ac:dyDescent="0.25">
      <c r="A229" s="2" t="s">
        <v>232</v>
      </c>
      <c r="B229">
        <v>38</v>
      </c>
      <c r="C229" t="s">
        <v>4</v>
      </c>
      <c r="D229" t="str">
        <f>VLOOKUP(A229,[1]Sheet1!$A:$D,2,FALSE)</f>
        <v>GE MEDICAL SYSTEMS</v>
      </c>
      <c r="E229" t="str">
        <f>VLOOKUP(A229,[1]Sheet1!$A:$D,3,FALSE)</f>
        <v>DISCOVERY MR750</v>
      </c>
      <c r="F229">
        <f>VLOOKUP(A229,[1]Sheet1!$A:$D,4,FALSE)</f>
        <v>3</v>
      </c>
      <c r="G229">
        <f>VLOOKUP(A229,[2]Sheet1!$A:$D,2,FALSE)</f>
        <v>1</v>
      </c>
      <c r="H229">
        <f>VLOOKUP(A229,[2]Sheet1!$A:$D,3,FALSE)</f>
        <v>1</v>
      </c>
      <c r="I229">
        <f>VLOOKUP(A229,[2]Sheet1!$A:$D,4,FALSE)</f>
        <v>2</v>
      </c>
      <c r="J229" t="str">
        <f>VLOOKUP(A229,[3]Sheet1!$A:$C,2,FALSE)</f>
        <v>AUTO</v>
      </c>
      <c r="K229" t="str">
        <f>VLOOKUP(A229,[3]Sheet1!$A:$C,3,FALSE)</f>
        <v>ALL</v>
      </c>
    </row>
    <row r="230" spans="1:11" x14ac:dyDescent="0.25">
      <c r="A230" s="2" t="s">
        <v>233</v>
      </c>
      <c r="B230">
        <v>30</v>
      </c>
      <c r="C230" t="s">
        <v>4</v>
      </c>
      <c r="D230" t="str">
        <f>VLOOKUP(A230,[1]Sheet1!$A:$D,2,FALSE)</f>
        <v>GE MEDICAL SYSTEMS</v>
      </c>
      <c r="E230" t="str">
        <f>VLOOKUP(A230,[1]Sheet1!$A:$D,3,FALSE)</f>
        <v>Signa HDxt</v>
      </c>
      <c r="F230">
        <f>VLOOKUP(A230,[1]Sheet1!$A:$D,4,FALSE)</f>
        <v>1.5</v>
      </c>
      <c r="G230">
        <f>VLOOKUP(A230,[2]Sheet1!$A:$D,2,FALSE)</f>
        <v>1</v>
      </c>
      <c r="H230">
        <f>VLOOKUP(A230,[2]Sheet1!$A:$D,3,FALSE)</f>
        <v>0</v>
      </c>
      <c r="I230">
        <f>VLOOKUP(A230,[2]Sheet1!$A:$D,4,FALSE)</f>
        <v>2</v>
      </c>
      <c r="J230" t="str">
        <f>VLOOKUP(A230,[3]Sheet1!$A:$C,2,FALSE)</f>
        <v>AUTO</v>
      </c>
      <c r="K230" t="str">
        <f>VLOOKUP(A230,[3]Sheet1!$A:$C,3,FALSE)</f>
        <v>ALL</v>
      </c>
    </row>
    <row r="231" spans="1:11" x14ac:dyDescent="0.25">
      <c r="A231" s="2" t="s">
        <v>234</v>
      </c>
      <c r="B231">
        <v>-1</v>
      </c>
      <c r="C231" t="s">
        <v>4</v>
      </c>
      <c r="D231" t="str">
        <f>VLOOKUP(A231,[1]Sheet1!$A:$D,2,FALSE)</f>
        <v>SIEMENS</v>
      </c>
      <c r="E231" t="str">
        <f>VLOOKUP(A231,[1]Sheet1!$A:$D,3,FALSE)</f>
        <v>Symphony</v>
      </c>
      <c r="F231">
        <f>VLOOKUP(A231,[1]Sheet1!$A:$D,4,FALSE)</f>
        <v>1.5</v>
      </c>
      <c r="G231">
        <f>VLOOKUP(A231,[2]Sheet1!$A:$D,2,FALSE)</f>
        <v>1</v>
      </c>
      <c r="H231">
        <f>VLOOKUP(A231,[2]Sheet1!$A:$D,3,FALSE)</f>
        <v>0</v>
      </c>
      <c r="I231">
        <f>VLOOKUP(A231,[2]Sheet1!$A:$D,4,FALSE)</f>
        <v>2</v>
      </c>
      <c r="J231" t="str">
        <f>VLOOKUP(A231,[3]Sheet1!$A:$C,2,FALSE)</f>
        <v>AUTO</v>
      </c>
      <c r="K231" t="str">
        <f>VLOOKUP(A231,[3]Sheet1!$A:$C,3,FALSE)</f>
        <v>ALL</v>
      </c>
    </row>
    <row r="232" spans="1:11" x14ac:dyDescent="0.25">
      <c r="A232" s="2" t="s">
        <v>235</v>
      </c>
      <c r="B232">
        <v>66</v>
      </c>
      <c r="C232" t="s">
        <v>4</v>
      </c>
      <c r="D232" t="str">
        <f>VLOOKUP(A232,[1]Sheet1!$A:$D,2,FALSE)</f>
        <v>Philips Medical Systems</v>
      </c>
      <c r="E232" t="str">
        <f>VLOOKUP(A232,[1]Sheet1!$A:$D,3,FALSE)</f>
        <v>Intera</v>
      </c>
      <c r="F232">
        <f>VLOOKUP(A232,[1]Sheet1!$A:$D,4,FALSE)</f>
        <v>1.5</v>
      </c>
      <c r="G232">
        <f>VLOOKUP(A232,[2]Sheet1!$A:$D,2,FALSE)</f>
        <v>-1</v>
      </c>
      <c r="H232">
        <f>VLOOKUP(A232,[2]Sheet1!$A:$D,3,FALSE)</f>
        <v>-1</v>
      </c>
      <c r="I232">
        <f>VLOOKUP(A232,[2]Sheet1!$A:$D,4,FALSE)</f>
        <v>3</v>
      </c>
      <c r="J232" t="str">
        <f>VLOOKUP(A232,[3]Sheet1!$A:$C,2,FALSE)</f>
        <v>AUTO</v>
      </c>
      <c r="K232" t="str">
        <f>VLOOKUP(A232,[3]Sheet1!$A:$C,3,FALSE)</f>
        <v>ALL</v>
      </c>
    </row>
    <row r="233" spans="1:11" x14ac:dyDescent="0.25">
      <c r="A233" s="2" t="s">
        <v>236</v>
      </c>
      <c r="B233">
        <v>79</v>
      </c>
      <c r="C233" t="s">
        <v>4</v>
      </c>
      <c r="D233" t="str">
        <f>VLOOKUP(A233,[1]Sheet1!$A:$D,2,FALSE)</f>
        <v>Philips Medical Systems</v>
      </c>
      <c r="E233" t="str">
        <f>VLOOKUP(A233,[1]Sheet1!$A:$D,3,FALSE)</f>
        <v>Ingenia</v>
      </c>
      <c r="F233">
        <f>VLOOKUP(A233,[1]Sheet1!$A:$D,4,FALSE)</f>
        <v>1.5</v>
      </c>
      <c r="G233">
        <f>VLOOKUP(A233,[2]Sheet1!$A:$D,2,FALSE)</f>
        <v>0</v>
      </c>
      <c r="H233">
        <f>VLOOKUP(A233,[2]Sheet1!$A:$D,3,FALSE)</f>
        <v>-1</v>
      </c>
      <c r="I233">
        <f>VLOOKUP(A233,[2]Sheet1!$A:$D,4,FALSE)</f>
        <v>4</v>
      </c>
      <c r="J233" t="str">
        <f>VLOOKUP(A233,[3]Sheet1!$A:$C,2,FALSE)</f>
        <v>OBS1</v>
      </c>
      <c r="K233" t="str">
        <f>VLOOKUP(A233,[3]Sheet1!$A:$C,3,FALSE)</f>
        <v>T2</v>
      </c>
    </row>
    <row r="234" spans="1:11" x14ac:dyDescent="0.25">
      <c r="A234" s="2" t="s">
        <v>237</v>
      </c>
      <c r="B234">
        <v>28</v>
      </c>
      <c r="C234" t="s">
        <v>4</v>
      </c>
      <c r="D234" t="str">
        <f>VLOOKUP(A234,[1]Sheet1!$A:$D,2,FALSE)</f>
        <v>GE MEDICAL SYSTEMS</v>
      </c>
      <c r="E234" t="str">
        <f>VLOOKUP(A234,[1]Sheet1!$A:$D,3,FALSE)</f>
        <v>Signa HDxt</v>
      </c>
      <c r="F234">
        <f>VLOOKUP(A234,[1]Sheet1!$A:$D,4,FALSE)</f>
        <v>1.5</v>
      </c>
      <c r="G234">
        <f>VLOOKUP(A234,[2]Sheet1!$A:$D,2,FALSE)</f>
        <v>1</v>
      </c>
      <c r="H234">
        <f>VLOOKUP(A234,[2]Sheet1!$A:$D,3,FALSE)</f>
        <v>1</v>
      </c>
      <c r="I234">
        <f>VLOOKUP(A234,[2]Sheet1!$A:$D,4,FALSE)</f>
        <v>3</v>
      </c>
      <c r="J234" t="str">
        <f>VLOOKUP(A234,[3]Sheet1!$A:$C,2,FALSE)</f>
        <v>AUTO</v>
      </c>
      <c r="K234" t="str">
        <f>VLOOKUP(A234,[3]Sheet1!$A:$C,3,FALSE)</f>
        <v>ALL</v>
      </c>
    </row>
    <row r="235" spans="1:11" x14ac:dyDescent="0.25">
      <c r="A235" s="2" t="s">
        <v>238</v>
      </c>
      <c r="B235">
        <v>78</v>
      </c>
      <c r="C235" t="s">
        <v>4</v>
      </c>
      <c r="D235" t="str">
        <f>VLOOKUP(A235,[1]Sheet1!$A:$D,2,FALSE)</f>
        <v>SIEMENS</v>
      </c>
      <c r="E235" t="str">
        <f>VLOOKUP(A235,[1]Sheet1!$A:$D,3,FALSE)</f>
        <v>Symphony</v>
      </c>
      <c r="F235">
        <f>VLOOKUP(A235,[1]Sheet1!$A:$D,4,FALSE)</f>
        <v>1.5</v>
      </c>
      <c r="G235">
        <f>VLOOKUP(A235,[2]Sheet1!$A:$D,2,FALSE)</f>
        <v>0</v>
      </c>
      <c r="H235">
        <f>VLOOKUP(A235,[2]Sheet1!$A:$D,3,FALSE)</f>
        <v>0</v>
      </c>
      <c r="I235">
        <f>VLOOKUP(A235,[2]Sheet1!$A:$D,4,FALSE)</f>
        <v>4</v>
      </c>
      <c r="J235" t="str">
        <f>VLOOKUP(A235,[3]Sheet1!$A:$C,2,FALSE)</f>
        <v>OBS1</v>
      </c>
      <c r="K235" t="str">
        <f>VLOOKUP(A235,[3]Sheet1!$A:$C,3,FALSE)</f>
        <v>T2</v>
      </c>
    </row>
    <row r="236" spans="1:11" x14ac:dyDescent="0.25">
      <c r="A236" s="2" t="s">
        <v>239</v>
      </c>
      <c r="B236">
        <v>63</v>
      </c>
      <c r="C236" t="s">
        <v>4</v>
      </c>
      <c r="D236" t="str">
        <f>VLOOKUP(A236,[1]Sheet1!$A:$D,2,FALSE)</f>
        <v>Philips Medical Systems</v>
      </c>
      <c r="E236" t="str">
        <f>VLOOKUP(A236,[1]Sheet1!$A:$D,3,FALSE)</f>
        <v>Achieva</v>
      </c>
      <c r="F236">
        <f>VLOOKUP(A236,[1]Sheet1!$A:$D,4,FALSE)</f>
        <v>3</v>
      </c>
      <c r="G236">
        <f>VLOOKUP(A236,[2]Sheet1!$A:$D,2,FALSE)</f>
        <v>-1</v>
      </c>
      <c r="H236">
        <f>VLOOKUP(A236,[2]Sheet1!$A:$D,3,FALSE)</f>
        <v>-1</v>
      </c>
      <c r="I236">
        <f>VLOOKUP(A236,[2]Sheet1!$A:$D,4,FALSE)</f>
        <v>4</v>
      </c>
      <c r="J236" t="str">
        <f>VLOOKUP(A236,[3]Sheet1!$A:$C,2,FALSE)</f>
        <v>AUTO</v>
      </c>
      <c r="K236" t="str">
        <f>VLOOKUP(A236,[3]Sheet1!$A:$C,3,FALSE)</f>
        <v>ALL</v>
      </c>
    </row>
    <row r="237" spans="1:11" x14ac:dyDescent="0.25">
      <c r="A237" s="2" t="s">
        <v>240</v>
      </c>
      <c r="B237">
        <v>27</v>
      </c>
      <c r="C237" t="s">
        <v>7</v>
      </c>
      <c r="D237" t="str">
        <f>VLOOKUP(A237,[1]Sheet1!$A:$D,2,FALSE)</f>
        <v>Philips Medical Systems</v>
      </c>
      <c r="E237" t="str">
        <f>VLOOKUP(A237,[1]Sheet1!$A:$D,3,FALSE)</f>
        <v>NT Intera</v>
      </c>
      <c r="F237">
        <f>VLOOKUP(A237,[1]Sheet1!$A:$D,4,FALSE)</f>
        <v>1.5</v>
      </c>
      <c r="G237">
        <f>VLOOKUP(A237,[2]Sheet1!$A:$D,2,FALSE)</f>
        <v>1</v>
      </c>
      <c r="H237">
        <f>VLOOKUP(A237,[2]Sheet1!$A:$D,3,FALSE)</f>
        <v>0</v>
      </c>
      <c r="I237">
        <f>VLOOKUP(A237,[2]Sheet1!$A:$D,4,FALSE)</f>
        <v>2</v>
      </c>
      <c r="J237" t="str">
        <f>VLOOKUP(A237,[3]Sheet1!$A:$C,2,FALSE)</f>
        <v>OBS2</v>
      </c>
      <c r="K237" t="str">
        <f>VLOOKUP(A237,[3]Sheet1!$A:$C,3,FALSE)</f>
        <v>T2</v>
      </c>
    </row>
    <row r="238" spans="1:11" x14ac:dyDescent="0.25">
      <c r="A238" s="2" t="s">
        <v>241</v>
      </c>
      <c r="B238">
        <v>62</v>
      </c>
      <c r="C238" t="s">
        <v>4</v>
      </c>
      <c r="D238" t="str">
        <f>VLOOKUP(A238,[1]Sheet1!$A:$D,2,FALSE)</f>
        <v>SIEMENS</v>
      </c>
      <c r="E238" t="str">
        <f>VLOOKUP(A238,[1]Sheet1!$A:$D,3,FALSE)</f>
        <v>Aera</v>
      </c>
      <c r="F238">
        <f>VLOOKUP(A238,[1]Sheet1!$A:$D,4,FALSE)</f>
        <v>1.5</v>
      </c>
      <c r="G238">
        <f>VLOOKUP(A238,[2]Sheet1!$A:$D,2,FALSE)</f>
        <v>0</v>
      </c>
      <c r="H238">
        <f>VLOOKUP(A238,[2]Sheet1!$A:$D,3,FALSE)</f>
        <v>-1</v>
      </c>
      <c r="I238">
        <f>VLOOKUP(A238,[2]Sheet1!$A:$D,4,FALSE)</f>
        <v>4</v>
      </c>
      <c r="J238" t="str">
        <f>VLOOKUP(A238,[3]Sheet1!$A:$C,2,FALSE)</f>
        <v>OBS1</v>
      </c>
      <c r="K238" t="str">
        <f>VLOOKUP(A238,[3]Sheet1!$A:$C,3,FALSE)</f>
        <v>T2</v>
      </c>
    </row>
    <row r="239" spans="1:11" x14ac:dyDescent="0.25">
      <c r="A239" s="2" t="s">
        <v>242</v>
      </c>
      <c r="B239">
        <v>71</v>
      </c>
      <c r="C239" t="s">
        <v>7</v>
      </c>
      <c r="D239" t="str">
        <f>VLOOKUP(A239,[1]Sheet1!$A:$D,2,FALSE)</f>
        <v>Philips Medical Systems</v>
      </c>
      <c r="E239" t="str">
        <f>VLOOKUP(A239,[1]Sheet1!$A:$D,3,FALSE)</f>
        <v>Achieva</v>
      </c>
      <c r="F239">
        <f>VLOOKUP(A239,[1]Sheet1!$A:$D,4,FALSE)</f>
        <v>1.5</v>
      </c>
      <c r="G239">
        <f>VLOOKUP(A239,[2]Sheet1!$A:$D,2,FALSE)</f>
        <v>0</v>
      </c>
      <c r="H239">
        <f>VLOOKUP(A239,[2]Sheet1!$A:$D,3,FALSE)</f>
        <v>-1</v>
      </c>
      <c r="I239">
        <f>VLOOKUP(A239,[2]Sheet1!$A:$D,4,FALSE)</f>
        <v>4</v>
      </c>
      <c r="J239" t="str">
        <f>VLOOKUP(A239,[3]Sheet1!$A:$C,2,FALSE)</f>
        <v>OBS1</v>
      </c>
      <c r="K239" t="str">
        <f>VLOOKUP(A239,[3]Sheet1!$A:$C,3,FALSE)</f>
        <v>T2</v>
      </c>
    </row>
    <row r="240" spans="1:11" x14ac:dyDescent="0.25">
      <c r="A240" s="2" t="s">
        <v>243</v>
      </c>
      <c r="B240">
        <v>65</v>
      </c>
      <c r="C240" t="s">
        <v>4</v>
      </c>
      <c r="D240" t="str">
        <f>VLOOKUP(A240,[1]Sheet1!$A:$D,2,FALSE)</f>
        <v>Philips Medical Systems</v>
      </c>
      <c r="E240" t="str">
        <f>VLOOKUP(A240,[1]Sheet1!$A:$D,3,FALSE)</f>
        <v>Achieva</v>
      </c>
      <c r="F240">
        <f>VLOOKUP(A240,[1]Sheet1!$A:$D,4,FALSE)</f>
        <v>1.5</v>
      </c>
      <c r="G240">
        <f>VLOOKUP(A240,[2]Sheet1!$A:$D,2,FALSE)</f>
        <v>-1</v>
      </c>
      <c r="H240">
        <f>VLOOKUP(A240,[2]Sheet1!$A:$D,3,FALSE)</f>
        <v>-1</v>
      </c>
      <c r="I240">
        <f>VLOOKUP(A240,[2]Sheet1!$A:$D,4,FALSE)</f>
        <v>4</v>
      </c>
      <c r="J240" t="str">
        <f>VLOOKUP(A240,[3]Sheet1!$A:$C,2,FALSE)</f>
        <v>AUTO</v>
      </c>
      <c r="K240" t="str">
        <f>VLOOKUP(A240,[3]Sheet1!$A:$C,3,FALSE)</f>
        <v>ALL</v>
      </c>
    </row>
    <row r="241" spans="1:11" x14ac:dyDescent="0.25">
      <c r="A241" s="2" t="s">
        <v>244</v>
      </c>
      <c r="B241">
        <v>41</v>
      </c>
      <c r="C241" t="s">
        <v>4</v>
      </c>
      <c r="D241" t="str">
        <f>VLOOKUP(A241,[1]Sheet1!$A:$D,2,FALSE)</f>
        <v>GE MEDICAL SYSTEMS</v>
      </c>
      <c r="E241" t="str">
        <f>VLOOKUP(A241,[1]Sheet1!$A:$D,3,FALSE)</f>
        <v>DISCOVERY MR450</v>
      </c>
      <c r="F241">
        <f>VLOOKUP(A241,[1]Sheet1!$A:$D,4,FALSE)</f>
        <v>1.5</v>
      </c>
      <c r="G241">
        <f>VLOOKUP(A241,[2]Sheet1!$A:$D,2,FALSE)</f>
        <v>1</v>
      </c>
      <c r="H241">
        <f>VLOOKUP(A241,[2]Sheet1!$A:$D,3,FALSE)</f>
        <v>0</v>
      </c>
      <c r="I241">
        <f>VLOOKUP(A241,[2]Sheet1!$A:$D,4,FALSE)</f>
        <v>2</v>
      </c>
      <c r="J241" t="str">
        <f>VLOOKUP(A241,[3]Sheet1!$A:$C,2,FALSE)</f>
        <v>OBS2</v>
      </c>
      <c r="K241" t="str">
        <f>VLOOKUP(A241,[3]Sheet1!$A:$C,3,FALSE)</f>
        <v>FLAIR</v>
      </c>
    </row>
    <row r="242" spans="1:11" x14ac:dyDescent="0.25">
      <c r="A242" s="2" t="s">
        <v>245</v>
      </c>
      <c r="B242">
        <v>38</v>
      </c>
      <c r="C242" t="s">
        <v>4</v>
      </c>
      <c r="D242" t="str">
        <f>VLOOKUP(A242,[1]Sheet1!$A:$D,2,FALSE)</f>
        <v>Philips Medical Systems</v>
      </c>
      <c r="E242" t="str">
        <f>VLOOKUP(A242,[1]Sheet1!$A:$D,3,FALSE)</f>
        <v>Intera</v>
      </c>
      <c r="F242">
        <f>VLOOKUP(A242,[1]Sheet1!$A:$D,4,FALSE)</f>
        <v>1.5</v>
      </c>
      <c r="G242">
        <f>VLOOKUP(A242,[2]Sheet1!$A:$D,2,FALSE)</f>
        <v>1</v>
      </c>
      <c r="H242">
        <f>VLOOKUP(A242,[2]Sheet1!$A:$D,3,FALSE)</f>
        <v>0</v>
      </c>
      <c r="I242">
        <f>VLOOKUP(A242,[2]Sheet1!$A:$D,4,FALSE)</f>
        <v>2</v>
      </c>
      <c r="J242" t="str">
        <f>VLOOKUP(A242,[3]Sheet1!$A:$C,2,FALSE)</f>
        <v>OBS2</v>
      </c>
      <c r="K242" t="str">
        <f>VLOOKUP(A242,[3]Sheet1!$A:$C,3,FALSE)</f>
        <v>FLAIR</v>
      </c>
    </row>
    <row r="243" spans="1:11" x14ac:dyDescent="0.25">
      <c r="A243" s="2" t="s">
        <v>246</v>
      </c>
      <c r="B243">
        <v>85</v>
      </c>
      <c r="C243" t="s">
        <v>4</v>
      </c>
      <c r="D243" t="str">
        <f>VLOOKUP(A243,[1]Sheet1!$A:$D,2,FALSE)</f>
        <v>SIEMENS</v>
      </c>
      <c r="E243" t="str">
        <f>VLOOKUP(A243,[1]Sheet1!$A:$D,3,FALSE)</f>
        <v>Harmony</v>
      </c>
      <c r="F243">
        <f>VLOOKUP(A243,[1]Sheet1!$A:$D,4,FALSE)</f>
        <v>1</v>
      </c>
      <c r="G243">
        <f>VLOOKUP(A243,[2]Sheet1!$A:$D,2,FALSE)</f>
        <v>0</v>
      </c>
      <c r="H243">
        <f>VLOOKUP(A243,[2]Sheet1!$A:$D,3,FALSE)</f>
        <v>-1</v>
      </c>
      <c r="I243">
        <f>VLOOKUP(A243,[2]Sheet1!$A:$D,4,FALSE)</f>
        <v>4</v>
      </c>
      <c r="J243" t="str">
        <f>VLOOKUP(A243,[3]Sheet1!$A:$C,2,FALSE)</f>
        <v>OBS1</v>
      </c>
      <c r="K243" t="str">
        <f>VLOOKUP(A243,[3]Sheet1!$A:$C,3,FALSE)</f>
        <v>FLAIR</v>
      </c>
    </row>
    <row r="244" spans="1:11" x14ac:dyDescent="0.25">
      <c r="A244" s="2" t="s">
        <v>247</v>
      </c>
      <c r="B244">
        <v>51</v>
      </c>
      <c r="C244" t="s">
        <v>4</v>
      </c>
      <c r="D244" t="str">
        <f>VLOOKUP(A244,[1]Sheet1!$A:$D,2,FALSE)</f>
        <v>SIEMENS</v>
      </c>
      <c r="E244" t="str">
        <f>VLOOKUP(A244,[1]Sheet1!$A:$D,3,FALSE)</f>
        <v>Avanto</v>
      </c>
      <c r="F244">
        <f>VLOOKUP(A244,[1]Sheet1!$A:$D,4,FALSE)</f>
        <v>1.5</v>
      </c>
      <c r="G244">
        <f>VLOOKUP(A244,[2]Sheet1!$A:$D,2,FALSE)</f>
        <v>1</v>
      </c>
      <c r="H244">
        <f>VLOOKUP(A244,[2]Sheet1!$A:$D,3,FALSE)</f>
        <v>0</v>
      </c>
      <c r="I244">
        <f>VLOOKUP(A244,[2]Sheet1!$A:$D,4,FALSE)</f>
        <v>3</v>
      </c>
      <c r="J244" t="str">
        <f>VLOOKUP(A244,[3]Sheet1!$A:$C,2,FALSE)</f>
        <v>OBS1</v>
      </c>
      <c r="K244" t="str">
        <f>VLOOKUP(A244,[3]Sheet1!$A:$C,3,FALSE)</f>
        <v>FLAIR</v>
      </c>
    </row>
    <row r="245" spans="1:11" x14ac:dyDescent="0.25">
      <c r="A245" s="2" t="s">
        <v>248</v>
      </c>
      <c r="B245">
        <v>46</v>
      </c>
      <c r="C245" t="s">
        <v>4</v>
      </c>
      <c r="D245" t="str">
        <f>VLOOKUP(A245,[1]Sheet1!$A:$D,2,FALSE)</f>
        <v>SIEMENS</v>
      </c>
      <c r="E245" t="str">
        <f>VLOOKUP(A245,[1]Sheet1!$A:$D,3,FALSE)</f>
        <v>Aera</v>
      </c>
      <c r="F245">
        <f>VLOOKUP(A245,[1]Sheet1!$A:$D,4,FALSE)</f>
        <v>1.5</v>
      </c>
      <c r="G245">
        <f>VLOOKUP(A245,[2]Sheet1!$A:$D,2,FALSE)</f>
        <v>1</v>
      </c>
      <c r="H245">
        <f>VLOOKUP(A245,[2]Sheet1!$A:$D,3,FALSE)</f>
        <v>1</v>
      </c>
      <c r="I245">
        <f>VLOOKUP(A245,[2]Sheet1!$A:$D,4,FALSE)</f>
        <v>3</v>
      </c>
      <c r="J245" t="str">
        <f>VLOOKUP(A245,[3]Sheet1!$A:$C,2,FALSE)</f>
        <v>OBS1</v>
      </c>
      <c r="K245" t="str">
        <f>VLOOKUP(A245,[3]Sheet1!$A:$C,3,FALSE)</f>
        <v>FLAIR</v>
      </c>
    </row>
    <row r="246" spans="1:11" x14ac:dyDescent="0.25">
      <c r="A246" s="2" t="s">
        <v>249</v>
      </c>
      <c r="B246">
        <v>66</v>
      </c>
      <c r="C246" t="s">
        <v>7</v>
      </c>
      <c r="D246" t="str">
        <f>VLOOKUP(A246,[1]Sheet1!$A:$D,2,FALSE)</f>
        <v>SIEMENS</v>
      </c>
      <c r="E246" t="str">
        <f>VLOOKUP(A246,[1]Sheet1!$A:$D,3,FALSE)</f>
        <v>Harmony</v>
      </c>
      <c r="F246">
        <f>VLOOKUP(A246,[1]Sheet1!$A:$D,4,FALSE)</f>
        <v>1</v>
      </c>
      <c r="G246">
        <f>VLOOKUP(A246,[2]Sheet1!$A:$D,2,FALSE)</f>
        <v>-1</v>
      </c>
      <c r="H246">
        <f>VLOOKUP(A246,[2]Sheet1!$A:$D,3,FALSE)</f>
        <v>-1</v>
      </c>
      <c r="I246">
        <f>VLOOKUP(A246,[2]Sheet1!$A:$D,4,FALSE)</f>
        <v>4</v>
      </c>
      <c r="J246" t="str">
        <f>VLOOKUP(A246,[3]Sheet1!$A:$C,2,FALSE)</f>
        <v>AUTO</v>
      </c>
      <c r="K246" t="str">
        <f>VLOOKUP(A246,[3]Sheet1!$A:$C,3,FALSE)</f>
        <v>ALL</v>
      </c>
    </row>
    <row r="247" spans="1:11" x14ac:dyDescent="0.25">
      <c r="A247" s="2" t="s">
        <v>250</v>
      </c>
      <c r="B247">
        <v>71</v>
      </c>
      <c r="C247" t="s">
        <v>4</v>
      </c>
      <c r="D247" t="str">
        <f>VLOOKUP(A247,[1]Sheet1!$A:$D,2,FALSE)</f>
        <v>SIEMENS</v>
      </c>
      <c r="E247" t="str">
        <f>VLOOKUP(A247,[1]Sheet1!$A:$D,3,FALSE)</f>
        <v>Avanto</v>
      </c>
      <c r="F247">
        <f>VLOOKUP(A247,[1]Sheet1!$A:$D,4,FALSE)</f>
        <v>1.5</v>
      </c>
      <c r="G247">
        <f>VLOOKUP(A247,[2]Sheet1!$A:$D,2,FALSE)</f>
        <v>-1</v>
      </c>
      <c r="H247">
        <f>VLOOKUP(A247,[2]Sheet1!$A:$D,3,FALSE)</f>
        <v>-1</v>
      </c>
      <c r="I247">
        <f>VLOOKUP(A247,[2]Sheet1!$A:$D,4,FALSE)</f>
        <v>4</v>
      </c>
      <c r="J247" t="str">
        <f>VLOOKUP(A247,[3]Sheet1!$A:$C,2,FALSE)</f>
        <v>OBS1</v>
      </c>
      <c r="K247" t="str">
        <f>VLOOKUP(A247,[3]Sheet1!$A:$C,3,FALSE)</f>
        <v>FLAIR</v>
      </c>
    </row>
    <row r="248" spans="1:11" x14ac:dyDescent="0.25">
      <c r="A248" s="2" t="s">
        <v>251</v>
      </c>
      <c r="B248">
        <v>69</v>
      </c>
      <c r="C248" t="s">
        <v>7</v>
      </c>
      <c r="D248" t="str">
        <f>VLOOKUP(A248,[1]Sheet1!$A:$D,2,FALSE)</f>
        <v>Philips Healthcare</v>
      </c>
      <c r="E248" t="str">
        <f>VLOOKUP(A248,[1]Sheet1!$A:$D,3,FALSE)</f>
        <v>Ingenia</v>
      </c>
      <c r="F248">
        <f>VLOOKUP(A248,[1]Sheet1!$A:$D,4,FALSE)</f>
        <v>3</v>
      </c>
      <c r="G248">
        <f>VLOOKUP(A248,[2]Sheet1!$A:$D,2,FALSE)</f>
        <v>0</v>
      </c>
      <c r="H248">
        <f>VLOOKUP(A248,[2]Sheet1!$A:$D,3,FALSE)</f>
        <v>0</v>
      </c>
      <c r="I248">
        <f>VLOOKUP(A248,[2]Sheet1!$A:$D,4,FALSE)</f>
        <v>4</v>
      </c>
      <c r="J248" t="str">
        <f>VLOOKUP(A248,[3]Sheet1!$A:$C,2,FALSE)</f>
        <v>OBS1</v>
      </c>
      <c r="K248" t="str">
        <f>VLOOKUP(A248,[3]Sheet1!$A:$C,3,FALSE)</f>
        <v>T2</v>
      </c>
    </row>
    <row r="249" spans="1:11" x14ac:dyDescent="0.25">
      <c r="A249" s="2" t="s">
        <v>252</v>
      </c>
      <c r="B249">
        <v>43</v>
      </c>
      <c r="C249" t="s">
        <v>4</v>
      </c>
      <c r="D249" t="str">
        <f>VLOOKUP(A249,[1]Sheet1!$A:$D,2,FALSE)</f>
        <v>Philips Medical Systems</v>
      </c>
      <c r="E249" t="str">
        <f>VLOOKUP(A249,[1]Sheet1!$A:$D,3,FALSE)</f>
        <v>Intera</v>
      </c>
      <c r="F249">
        <f>VLOOKUP(A249,[1]Sheet1!$A:$D,4,FALSE)</f>
        <v>1.5</v>
      </c>
      <c r="G249">
        <f>VLOOKUP(A249,[2]Sheet1!$A:$D,2,FALSE)</f>
        <v>-1</v>
      </c>
      <c r="H249">
        <f>VLOOKUP(A249,[2]Sheet1!$A:$D,3,FALSE)</f>
        <v>-1</v>
      </c>
      <c r="I249">
        <f>VLOOKUP(A249,[2]Sheet1!$A:$D,4,FALSE)</f>
        <v>4</v>
      </c>
      <c r="J249" t="str">
        <f>VLOOKUP(A249,[3]Sheet1!$A:$C,2,FALSE)</f>
        <v>AUTO</v>
      </c>
      <c r="K249" t="str">
        <f>VLOOKUP(A249,[3]Sheet1!$A:$C,3,FALSE)</f>
        <v>ALL</v>
      </c>
    </row>
    <row r="250" spans="1:11" x14ac:dyDescent="0.25">
      <c r="A250" s="2" t="s">
        <v>253</v>
      </c>
      <c r="B250">
        <v>-1</v>
      </c>
      <c r="C250" t="s">
        <v>7</v>
      </c>
      <c r="D250" t="str">
        <f>VLOOKUP(A250,[1]Sheet1!$A:$D,2,FALSE)</f>
        <v>Philips Medical Systems</v>
      </c>
      <c r="E250" t="str">
        <f>VLOOKUP(A250,[1]Sheet1!$A:$D,3,FALSE)</f>
        <v>Achieva dStream</v>
      </c>
      <c r="F250">
        <f>VLOOKUP(A250,[1]Sheet1!$A:$D,4,FALSE)</f>
        <v>1.5</v>
      </c>
      <c r="G250">
        <f>VLOOKUP(A250,[2]Sheet1!$A:$D,2,FALSE)</f>
        <v>0</v>
      </c>
      <c r="H250">
        <f>VLOOKUP(A250,[2]Sheet1!$A:$D,3,FALSE)</f>
        <v>-1</v>
      </c>
      <c r="I250">
        <f>VLOOKUP(A250,[2]Sheet1!$A:$D,4,FALSE)</f>
        <v>-1</v>
      </c>
      <c r="J250" t="str">
        <f>VLOOKUP(A250,[3]Sheet1!$A:$C,2,FALSE)</f>
        <v>AUTO</v>
      </c>
      <c r="K250" t="str">
        <f>VLOOKUP(A250,[3]Sheet1!$A:$C,3,FALSE)</f>
        <v>ALL</v>
      </c>
    </row>
    <row r="251" spans="1:11" x14ac:dyDescent="0.25">
      <c r="A251" s="2" t="s">
        <v>254</v>
      </c>
      <c r="B251">
        <v>73</v>
      </c>
      <c r="C251" t="s">
        <v>4</v>
      </c>
      <c r="D251" t="str">
        <f>VLOOKUP(A251,[1]Sheet1!$A:$D,2,FALSE)</f>
        <v>Philips Medical Systems</v>
      </c>
      <c r="E251" t="str">
        <f>VLOOKUP(A251,[1]Sheet1!$A:$D,3,FALSE)</f>
        <v>Achieva</v>
      </c>
      <c r="F251">
        <f>VLOOKUP(A251,[1]Sheet1!$A:$D,4,FALSE)</f>
        <v>1.5</v>
      </c>
      <c r="G251">
        <f>VLOOKUP(A251,[2]Sheet1!$A:$D,2,FALSE)</f>
        <v>0</v>
      </c>
      <c r="H251">
        <f>VLOOKUP(A251,[2]Sheet1!$A:$D,3,FALSE)</f>
        <v>-1</v>
      </c>
      <c r="I251">
        <f>VLOOKUP(A251,[2]Sheet1!$A:$D,4,FALSE)</f>
        <v>4</v>
      </c>
      <c r="J251" t="str">
        <f>VLOOKUP(A251,[3]Sheet1!$A:$C,2,FALSE)</f>
        <v>OBS1</v>
      </c>
      <c r="K251" t="str">
        <f>VLOOKUP(A251,[3]Sheet1!$A:$C,3,FALSE)</f>
        <v>T2</v>
      </c>
    </row>
    <row r="252" spans="1:11" x14ac:dyDescent="0.25">
      <c r="A252" s="2" t="s">
        <v>255</v>
      </c>
      <c r="B252">
        <v>65</v>
      </c>
      <c r="C252" t="s">
        <v>4</v>
      </c>
      <c r="D252" t="str">
        <f>VLOOKUP(A252,[1]Sheet1!$A:$D,2,FALSE)</f>
        <v>Philips Medical Systems</v>
      </c>
      <c r="E252" t="str">
        <f>VLOOKUP(A252,[1]Sheet1!$A:$D,3,FALSE)</f>
        <v>Intera</v>
      </c>
      <c r="F252">
        <f>VLOOKUP(A252,[1]Sheet1!$A:$D,4,FALSE)</f>
        <v>1.5</v>
      </c>
      <c r="G252">
        <f>VLOOKUP(A252,[2]Sheet1!$A:$D,2,FALSE)</f>
        <v>-1</v>
      </c>
      <c r="H252">
        <f>VLOOKUP(A252,[2]Sheet1!$A:$D,3,FALSE)</f>
        <v>-1</v>
      </c>
      <c r="I252">
        <f>VLOOKUP(A252,[2]Sheet1!$A:$D,4,FALSE)</f>
        <v>4</v>
      </c>
      <c r="J252" t="str">
        <f>VLOOKUP(A252,[3]Sheet1!$A:$C,2,FALSE)</f>
        <v>OBS1</v>
      </c>
      <c r="K252" t="str">
        <f>VLOOKUP(A252,[3]Sheet1!$A:$C,3,FALSE)</f>
        <v>T2</v>
      </c>
    </row>
    <row r="253" spans="1:11" x14ac:dyDescent="0.25">
      <c r="A253" s="2" t="s">
        <v>256</v>
      </c>
      <c r="B253">
        <v>39</v>
      </c>
      <c r="C253" t="s">
        <v>7</v>
      </c>
      <c r="D253" t="str">
        <f>VLOOKUP(A253,[1]Sheet1!$A:$D,2,FALSE)</f>
        <v>SIEMENS</v>
      </c>
      <c r="E253" t="str">
        <f>VLOOKUP(A253,[1]Sheet1!$A:$D,3,FALSE)</f>
        <v>SonataVision</v>
      </c>
      <c r="F253">
        <f>VLOOKUP(A253,[1]Sheet1!$A:$D,4,FALSE)</f>
        <v>1.5</v>
      </c>
      <c r="G253">
        <f>VLOOKUP(A253,[2]Sheet1!$A:$D,2,FALSE)</f>
        <v>-1</v>
      </c>
      <c r="H253">
        <f>VLOOKUP(A253,[2]Sheet1!$A:$D,3,FALSE)</f>
        <v>-1</v>
      </c>
      <c r="I253">
        <f>VLOOKUP(A253,[2]Sheet1!$A:$D,4,FALSE)</f>
        <v>4</v>
      </c>
      <c r="J253" t="str">
        <f>VLOOKUP(A253,[3]Sheet1!$A:$C,2,FALSE)</f>
        <v>AUTO</v>
      </c>
      <c r="K253" t="str">
        <f>VLOOKUP(A253,[3]Sheet1!$A:$C,3,FALSE)</f>
        <v>ALL</v>
      </c>
    </row>
    <row r="254" spans="1:11" x14ac:dyDescent="0.25">
      <c r="A254" s="2" t="s">
        <v>257</v>
      </c>
      <c r="B254">
        <v>48</v>
      </c>
      <c r="C254" t="s">
        <v>4</v>
      </c>
      <c r="D254" t="str">
        <f>VLOOKUP(A254,[1]Sheet1!$A:$D,2,FALSE)</f>
        <v>Philips Medical Systems</v>
      </c>
      <c r="E254" t="str">
        <f>VLOOKUP(A254,[1]Sheet1!$A:$D,3,FALSE)</f>
        <v>Intera</v>
      </c>
      <c r="F254">
        <f>VLOOKUP(A254,[1]Sheet1!$A:$D,4,FALSE)</f>
        <v>1.5</v>
      </c>
      <c r="G254">
        <f>VLOOKUP(A254,[2]Sheet1!$A:$D,2,FALSE)</f>
        <v>1</v>
      </c>
      <c r="H254">
        <f>VLOOKUP(A254,[2]Sheet1!$A:$D,3,FALSE)</f>
        <v>1</v>
      </c>
      <c r="I254">
        <f>VLOOKUP(A254,[2]Sheet1!$A:$D,4,FALSE)</f>
        <v>2</v>
      </c>
      <c r="J254" t="str">
        <f>VLOOKUP(A254,[3]Sheet1!$A:$C,2,FALSE)</f>
        <v>OBS2</v>
      </c>
      <c r="K254" t="str">
        <f>VLOOKUP(A254,[3]Sheet1!$A:$C,3,FALSE)</f>
        <v>FLAIR</v>
      </c>
    </row>
    <row r="255" spans="1:11" x14ac:dyDescent="0.25">
      <c r="A255" s="2" t="s">
        <v>258</v>
      </c>
      <c r="B255">
        <v>72</v>
      </c>
      <c r="C255" t="s">
        <v>4</v>
      </c>
      <c r="D255" t="str">
        <f>VLOOKUP(A255,[1]Sheet1!$A:$D,2,FALSE)</f>
        <v>Philips Medical Systems</v>
      </c>
      <c r="E255" t="str">
        <f>VLOOKUP(A255,[1]Sheet1!$A:$D,3,FALSE)</f>
        <v>Ingenia</v>
      </c>
      <c r="F255">
        <f>VLOOKUP(A255,[1]Sheet1!$A:$D,4,FALSE)</f>
        <v>3</v>
      </c>
      <c r="G255">
        <f>VLOOKUP(A255,[2]Sheet1!$A:$D,2,FALSE)</f>
        <v>0</v>
      </c>
      <c r="H255">
        <f>VLOOKUP(A255,[2]Sheet1!$A:$D,3,FALSE)</f>
        <v>-1</v>
      </c>
      <c r="I255">
        <f>VLOOKUP(A255,[2]Sheet1!$A:$D,4,FALSE)</f>
        <v>4</v>
      </c>
      <c r="J255" t="str">
        <f>VLOOKUP(A255,[3]Sheet1!$A:$C,2,FALSE)</f>
        <v>AUTO</v>
      </c>
      <c r="K255" t="str">
        <f>VLOOKUP(A255,[3]Sheet1!$A:$C,3,FALSE)</f>
        <v>ALL</v>
      </c>
    </row>
    <row r="256" spans="1:11" x14ac:dyDescent="0.25">
      <c r="A256" s="2" t="s">
        <v>259</v>
      </c>
      <c r="B256">
        <v>67</v>
      </c>
      <c r="C256" t="s">
        <v>4</v>
      </c>
      <c r="D256" t="str">
        <f>VLOOKUP(A256,[1]Sheet1!$A:$D,2,FALSE)</f>
        <v>Philips Medical Systems</v>
      </c>
      <c r="E256" t="str">
        <f>VLOOKUP(A256,[1]Sheet1!$A:$D,3,FALSE)</f>
        <v>Achieva dStream</v>
      </c>
      <c r="F256">
        <f>VLOOKUP(A256,[1]Sheet1!$A:$D,4,FALSE)</f>
        <v>1.5</v>
      </c>
      <c r="G256">
        <f>VLOOKUP(A256,[2]Sheet1!$A:$D,2,FALSE)</f>
        <v>0</v>
      </c>
      <c r="H256">
        <f>VLOOKUP(A256,[2]Sheet1!$A:$D,3,FALSE)</f>
        <v>-1</v>
      </c>
      <c r="I256">
        <f>VLOOKUP(A256,[2]Sheet1!$A:$D,4,FALSE)</f>
        <v>4</v>
      </c>
      <c r="J256" t="str">
        <f>VLOOKUP(A256,[3]Sheet1!$A:$C,2,FALSE)</f>
        <v>AUTO</v>
      </c>
      <c r="K256" t="str">
        <f>VLOOKUP(A256,[3]Sheet1!$A:$C,3,FALSE)</f>
        <v>ALL</v>
      </c>
    </row>
    <row r="257" spans="1:11" x14ac:dyDescent="0.25">
      <c r="A257" s="2" t="s">
        <v>260</v>
      </c>
      <c r="B257">
        <v>36</v>
      </c>
      <c r="C257" t="s">
        <v>4</v>
      </c>
      <c r="D257" t="str">
        <f>VLOOKUP(A257,[1]Sheet1!$A:$D,2,FALSE)</f>
        <v>SIEMENS</v>
      </c>
      <c r="E257" t="str">
        <f>VLOOKUP(A257,[1]Sheet1!$A:$D,3,FALSE)</f>
        <v>Harmony</v>
      </c>
      <c r="F257">
        <f>VLOOKUP(A257,[1]Sheet1!$A:$D,4,FALSE)</f>
        <v>1</v>
      </c>
      <c r="G257">
        <f>VLOOKUP(A257,[2]Sheet1!$A:$D,2,FALSE)</f>
        <v>0</v>
      </c>
      <c r="H257">
        <f>VLOOKUP(A257,[2]Sheet1!$A:$D,3,FALSE)</f>
        <v>0</v>
      </c>
      <c r="I257">
        <f>VLOOKUP(A257,[2]Sheet1!$A:$D,4,FALSE)</f>
        <v>4</v>
      </c>
      <c r="J257" t="str">
        <f>VLOOKUP(A257,[3]Sheet1!$A:$C,2,FALSE)</f>
        <v>AUTO</v>
      </c>
      <c r="K257" t="str">
        <f>VLOOKUP(A257,[3]Sheet1!$A:$C,3,FALSE)</f>
        <v>ALL</v>
      </c>
    </row>
    <row r="258" spans="1:11" x14ac:dyDescent="0.25">
      <c r="A258" s="2" t="s">
        <v>261</v>
      </c>
      <c r="B258">
        <v>65</v>
      </c>
      <c r="C258" t="s">
        <v>4</v>
      </c>
      <c r="D258" t="str">
        <f>VLOOKUP(A258,[1]Sheet1!$A:$D,2,FALSE)</f>
        <v>SIEMENS</v>
      </c>
      <c r="E258" t="str">
        <f>VLOOKUP(A258,[1]Sheet1!$A:$D,3,FALSE)</f>
        <v>Avanto</v>
      </c>
      <c r="F258">
        <f>VLOOKUP(A258,[1]Sheet1!$A:$D,4,FALSE)</f>
        <v>1.5</v>
      </c>
      <c r="G258">
        <f>VLOOKUP(A258,[2]Sheet1!$A:$D,2,FALSE)</f>
        <v>-1</v>
      </c>
      <c r="H258">
        <f>VLOOKUP(A258,[2]Sheet1!$A:$D,3,FALSE)</f>
        <v>-1</v>
      </c>
      <c r="I258">
        <f>VLOOKUP(A258,[2]Sheet1!$A:$D,4,FALSE)</f>
        <v>4</v>
      </c>
      <c r="J258" t="str">
        <f>VLOOKUP(A258,[3]Sheet1!$A:$C,2,FALSE)</f>
        <v>AUTO</v>
      </c>
      <c r="K258" t="str">
        <f>VLOOKUP(A258,[3]Sheet1!$A:$C,3,FALSE)</f>
        <v>ALL</v>
      </c>
    </row>
    <row r="259" spans="1:11" x14ac:dyDescent="0.25">
      <c r="A259" s="2" t="s">
        <v>262</v>
      </c>
      <c r="B259">
        <v>39</v>
      </c>
      <c r="C259" t="s">
        <v>4</v>
      </c>
      <c r="D259" t="str">
        <f>VLOOKUP(A259,[1]Sheet1!$A:$D,2,FALSE)</f>
        <v>GE MEDICAL SYSTEMS</v>
      </c>
      <c r="E259" t="str">
        <f>VLOOKUP(A259,[1]Sheet1!$A:$D,3,FALSE)</f>
        <v>DISCOVERY MR750</v>
      </c>
      <c r="F259">
        <f>VLOOKUP(A259,[1]Sheet1!$A:$D,4,FALSE)</f>
        <v>3</v>
      </c>
      <c r="G259">
        <f>VLOOKUP(A259,[2]Sheet1!$A:$D,2,FALSE)</f>
        <v>-1</v>
      </c>
      <c r="H259">
        <f>VLOOKUP(A259,[2]Sheet1!$A:$D,3,FALSE)</f>
        <v>-1</v>
      </c>
      <c r="I259">
        <f>VLOOKUP(A259,[2]Sheet1!$A:$D,4,FALSE)</f>
        <v>4</v>
      </c>
      <c r="J259" t="str">
        <f>VLOOKUP(A259,[3]Sheet1!$A:$C,2,FALSE)</f>
        <v>AUTO</v>
      </c>
      <c r="K259" t="str">
        <f>VLOOKUP(A259,[3]Sheet1!$A:$C,3,FALSE)</f>
        <v>ALL</v>
      </c>
    </row>
    <row r="260" spans="1:11" x14ac:dyDescent="0.25">
      <c r="A260" s="2" t="s">
        <v>263</v>
      </c>
      <c r="B260">
        <v>65</v>
      </c>
      <c r="C260" t="s">
        <v>4</v>
      </c>
      <c r="D260" t="str">
        <f>VLOOKUP(A260,[1]Sheet1!$A:$D,2,FALSE)</f>
        <v>SIEMENS</v>
      </c>
      <c r="E260" t="str">
        <f>VLOOKUP(A260,[1]Sheet1!$A:$D,3,FALSE)</f>
        <v>Harmony</v>
      </c>
      <c r="F260">
        <f>VLOOKUP(A260,[1]Sheet1!$A:$D,4,FALSE)</f>
        <v>1</v>
      </c>
      <c r="G260">
        <f>VLOOKUP(A260,[2]Sheet1!$A:$D,2,FALSE)</f>
        <v>-1</v>
      </c>
      <c r="H260">
        <f>VLOOKUP(A260,[2]Sheet1!$A:$D,3,FALSE)</f>
        <v>-1</v>
      </c>
      <c r="I260">
        <f>VLOOKUP(A260,[2]Sheet1!$A:$D,4,FALSE)</f>
        <v>4</v>
      </c>
      <c r="J260" t="str">
        <f>VLOOKUP(A260,[3]Sheet1!$A:$C,2,FALSE)</f>
        <v>AUTO</v>
      </c>
      <c r="K260" t="str">
        <f>VLOOKUP(A260,[3]Sheet1!$A:$C,3,FALSE)</f>
        <v>ALL</v>
      </c>
    </row>
    <row r="261" spans="1:11" x14ac:dyDescent="0.25">
      <c r="A261" s="2" t="s">
        <v>264</v>
      </c>
      <c r="B261">
        <v>49</v>
      </c>
      <c r="C261" t="s">
        <v>4</v>
      </c>
      <c r="D261" t="str">
        <f>VLOOKUP(A261,[1]Sheet1!$A:$D,2,FALSE)</f>
        <v>Philips Medical Systems</v>
      </c>
      <c r="E261" t="str">
        <f>VLOOKUP(A261,[1]Sheet1!$A:$D,3,FALSE)</f>
        <v>Intera</v>
      </c>
      <c r="F261">
        <f>VLOOKUP(A261,[1]Sheet1!$A:$D,4,FALSE)</f>
        <v>1.5</v>
      </c>
      <c r="G261">
        <f>VLOOKUP(A261,[2]Sheet1!$A:$D,2,FALSE)</f>
        <v>-1</v>
      </c>
      <c r="H261">
        <f>VLOOKUP(A261,[2]Sheet1!$A:$D,3,FALSE)</f>
        <v>0</v>
      </c>
      <c r="I261">
        <f>VLOOKUP(A261,[2]Sheet1!$A:$D,4,FALSE)</f>
        <v>3</v>
      </c>
      <c r="J261" t="str">
        <f>VLOOKUP(A261,[3]Sheet1!$A:$C,2,FALSE)</f>
        <v>AUTO</v>
      </c>
      <c r="K261" t="str">
        <f>VLOOKUP(A261,[3]Sheet1!$A:$C,3,FALSE)</f>
        <v>ALL</v>
      </c>
    </row>
    <row r="262" spans="1:11" x14ac:dyDescent="0.25">
      <c r="A262" s="2" t="s">
        <v>265</v>
      </c>
      <c r="B262">
        <v>65</v>
      </c>
      <c r="C262" t="s">
        <v>4</v>
      </c>
      <c r="D262" t="str">
        <f>VLOOKUP(A262,[1]Sheet1!$A:$D,2,FALSE)</f>
        <v>SIEMENS</v>
      </c>
      <c r="E262" t="str">
        <f>VLOOKUP(A262,[1]Sheet1!$A:$D,3,FALSE)</f>
        <v>Symphony</v>
      </c>
      <c r="F262">
        <f>VLOOKUP(A262,[1]Sheet1!$A:$D,4,FALSE)</f>
        <v>1.5</v>
      </c>
      <c r="G262">
        <f>VLOOKUP(A262,[2]Sheet1!$A:$D,2,FALSE)</f>
        <v>-1</v>
      </c>
      <c r="H262">
        <f>VLOOKUP(A262,[2]Sheet1!$A:$D,3,FALSE)</f>
        <v>-1</v>
      </c>
      <c r="I262">
        <f>VLOOKUP(A262,[2]Sheet1!$A:$D,4,FALSE)</f>
        <v>2</v>
      </c>
      <c r="J262" t="str">
        <f>VLOOKUP(A262,[3]Sheet1!$A:$C,2,FALSE)</f>
        <v>AUTO</v>
      </c>
      <c r="K262" t="str">
        <f>VLOOKUP(A262,[3]Sheet1!$A:$C,3,FALSE)</f>
        <v>ALL</v>
      </c>
    </row>
    <row r="263" spans="1:11" x14ac:dyDescent="0.25">
      <c r="A263" s="2" t="s">
        <v>266</v>
      </c>
      <c r="B263">
        <v>58</v>
      </c>
      <c r="C263" t="s">
        <v>7</v>
      </c>
      <c r="D263" t="str">
        <f>VLOOKUP(A263,[1]Sheet1!$A:$D,2,FALSE)</f>
        <v>Philips Medical Systems</v>
      </c>
      <c r="E263" t="str">
        <f>VLOOKUP(A263,[1]Sheet1!$A:$D,3,FALSE)</f>
        <v>Ingenia</v>
      </c>
      <c r="F263">
        <f>VLOOKUP(A263,[1]Sheet1!$A:$D,4,FALSE)</f>
        <v>-1</v>
      </c>
      <c r="G263">
        <f>VLOOKUP(A263,[2]Sheet1!$A:$D,2,FALSE)</f>
        <v>0</v>
      </c>
      <c r="H263">
        <f>VLOOKUP(A263,[2]Sheet1!$A:$D,3,FALSE)</f>
        <v>-1</v>
      </c>
      <c r="I263">
        <f>VLOOKUP(A263,[2]Sheet1!$A:$D,4,FALSE)</f>
        <v>4</v>
      </c>
      <c r="J263" t="str">
        <f>VLOOKUP(A263,[3]Sheet1!$A:$C,2,FALSE)</f>
        <v>AUTO</v>
      </c>
      <c r="K263" t="str">
        <f>VLOOKUP(A263,[3]Sheet1!$A:$C,3,FALSE)</f>
        <v>ALL</v>
      </c>
    </row>
    <row r="264" spans="1:11" x14ac:dyDescent="0.25">
      <c r="A264" s="2" t="s">
        <v>267</v>
      </c>
      <c r="B264">
        <v>77</v>
      </c>
      <c r="C264" t="s">
        <v>4</v>
      </c>
      <c r="D264" t="str">
        <f>VLOOKUP(A264,[1]Sheet1!$A:$D,2,FALSE)</f>
        <v>GE MEDICAL SYSTEMS</v>
      </c>
      <c r="E264" t="str">
        <f>VLOOKUP(A264,[1]Sheet1!$A:$D,3,FALSE)</f>
        <v>DISCOVERY MR450</v>
      </c>
      <c r="F264">
        <f>VLOOKUP(A264,[1]Sheet1!$A:$D,4,FALSE)</f>
        <v>1.5</v>
      </c>
      <c r="G264">
        <f>VLOOKUP(A264,[2]Sheet1!$A:$D,2,FALSE)</f>
        <v>0</v>
      </c>
      <c r="H264">
        <f>VLOOKUP(A264,[2]Sheet1!$A:$D,3,FALSE)</f>
        <v>-1</v>
      </c>
      <c r="I264">
        <f>VLOOKUP(A264,[2]Sheet1!$A:$D,4,FALSE)</f>
        <v>4</v>
      </c>
      <c r="J264" t="str">
        <f>VLOOKUP(A264,[3]Sheet1!$A:$C,2,FALSE)</f>
        <v>OBS1</v>
      </c>
      <c r="K264" t="str">
        <f>VLOOKUP(A264,[3]Sheet1!$A:$C,3,FALSE)</f>
        <v>T2</v>
      </c>
    </row>
    <row r="265" spans="1:11" x14ac:dyDescent="0.25">
      <c r="A265" s="2" t="s">
        <v>268</v>
      </c>
      <c r="B265">
        <v>78</v>
      </c>
      <c r="C265" t="s">
        <v>4</v>
      </c>
      <c r="D265" t="str">
        <f>VLOOKUP(A265,[1]Sheet1!$A:$D,2,FALSE)</f>
        <v>SIEMENS</v>
      </c>
      <c r="E265" t="str">
        <f>VLOOKUP(A265,[1]Sheet1!$A:$D,3,FALSE)</f>
        <v>Aera</v>
      </c>
      <c r="F265">
        <f>VLOOKUP(A265,[1]Sheet1!$A:$D,4,FALSE)</f>
        <v>1.5</v>
      </c>
      <c r="G265">
        <f>VLOOKUP(A265,[2]Sheet1!$A:$D,2,FALSE)</f>
        <v>0</v>
      </c>
      <c r="H265">
        <f>VLOOKUP(A265,[2]Sheet1!$A:$D,3,FALSE)</f>
        <v>-1</v>
      </c>
      <c r="I265">
        <f>VLOOKUP(A265,[2]Sheet1!$A:$D,4,FALSE)</f>
        <v>4</v>
      </c>
      <c r="J265" t="str">
        <f>VLOOKUP(A265,[3]Sheet1!$A:$C,2,FALSE)</f>
        <v>OBS1</v>
      </c>
      <c r="K265" t="str">
        <f>VLOOKUP(A265,[3]Sheet1!$A:$C,3,FALSE)</f>
        <v>T2</v>
      </c>
    </row>
    <row r="266" spans="1:11" x14ac:dyDescent="0.25">
      <c r="A266" s="2" t="s">
        <v>269</v>
      </c>
      <c r="B266">
        <v>-1</v>
      </c>
      <c r="C266" t="s">
        <v>4</v>
      </c>
      <c r="D266" t="str">
        <f>VLOOKUP(A266,[1]Sheet1!$A:$D,2,FALSE)</f>
        <v>Philips Medical Systems</v>
      </c>
      <c r="E266" t="str">
        <f>VLOOKUP(A266,[1]Sheet1!$A:$D,3,FALSE)</f>
        <v>Achieva</v>
      </c>
      <c r="F266">
        <f>VLOOKUP(A266,[1]Sheet1!$A:$D,4,FALSE)</f>
        <v>1.5</v>
      </c>
      <c r="G266">
        <f>VLOOKUP(A266,[2]Sheet1!$A:$D,2,FALSE)</f>
        <v>-1</v>
      </c>
      <c r="H266">
        <f>VLOOKUP(A266,[2]Sheet1!$A:$D,3,FALSE)</f>
        <v>-1</v>
      </c>
      <c r="I266">
        <f>VLOOKUP(A266,[2]Sheet1!$A:$D,4,FALSE)</f>
        <v>2</v>
      </c>
      <c r="J266" t="str">
        <f>VLOOKUP(A266,[3]Sheet1!$A:$C,2,FALSE)</f>
        <v>AUTO</v>
      </c>
      <c r="K266" t="str">
        <f>VLOOKUP(A266,[3]Sheet1!$A:$C,3,FALSE)</f>
        <v>ALL</v>
      </c>
    </row>
    <row r="267" spans="1:11" x14ac:dyDescent="0.25">
      <c r="A267" s="2" t="s">
        <v>270</v>
      </c>
      <c r="B267">
        <v>-1</v>
      </c>
      <c r="C267" t="s">
        <v>4</v>
      </c>
      <c r="D267" t="str">
        <f>VLOOKUP(A267,[1]Sheet1!$A:$D,2,FALSE)</f>
        <v>SIEMENS</v>
      </c>
      <c r="E267" t="str">
        <f>VLOOKUP(A267,[1]Sheet1!$A:$D,3,FALSE)</f>
        <v>MAGNETOM_ESSENZA</v>
      </c>
      <c r="F267">
        <f>VLOOKUP(A267,[1]Sheet1!$A:$D,4,FALSE)</f>
        <v>1.5</v>
      </c>
      <c r="G267">
        <f>VLOOKUP(A267,[2]Sheet1!$A:$D,2,FALSE)</f>
        <v>0</v>
      </c>
      <c r="H267">
        <f>VLOOKUP(A267,[2]Sheet1!$A:$D,3,FALSE)</f>
        <v>-1</v>
      </c>
      <c r="I267">
        <f>VLOOKUP(A267,[2]Sheet1!$A:$D,4,FALSE)</f>
        <v>-1</v>
      </c>
      <c r="J267" t="str">
        <f>VLOOKUP(A267,[3]Sheet1!$A:$C,2,FALSE)</f>
        <v>AUTO</v>
      </c>
      <c r="K267" t="str">
        <f>VLOOKUP(A267,[3]Sheet1!$A:$C,3,FALSE)</f>
        <v>ALL</v>
      </c>
    </row>
    <row r="268" spans="1:11" x14ac:dyDescent="0.25">
      <c r="A268" s="2" t="s">
        <v>271</v>
      </c>
      <c r="B268">
        <v>74</v>
      </c>
      <c r="C268" t="s">
        <v>4</v>
      </c>
      <c r="D268" t="str">
        <f>VLOOKUP(A268,[1]Sheet1!$A:$D,2,FALSE)</f>
        <v>SIEMENS</v>
      </c>
      <c r="E268" t="str">
        <f>VLOOKUP(A268,[1]Sheet1!$A:$D,3,FALSE)</f>
        <v>Harmony</v>
      </c>
      <c r="F268">
        <f>VLOOKUP(A268,[1]Sheet1!$A:$D,4,FALSE)</f>
        <v>1</v>
      </c>
      <c r="G268">
        <f>VLOOKUP(A268,[2]Sheet1!$A:$D,2,FALSE)</f>
        <v>-1</v>
      </c>
      <c r="H268">
        <f>VLOOKUP(A268,[2]Sheet1!$A:$D,3,FALSE)</f>
        <v>-1</v>
      </c>
      <c r="I268">
        <f>VLOOKUP(A268,[2]Sheet1!$A:$D,4,FALSE)</f>
        <v>4</v>
      </c>
      <c r="J268" t="str">
        <f>VLOOKUP(A268,[3]Sheet1!$A:$C,2,FALSE)</f>
        <v>AUTO</v>
      </c>
      <c r="K268" t="str">
        <f>VLOOKUP(A268,[3]Sheet1!$A:$C,3,FALSE)</f>
        <v>ALL</v>
      </c>
    </row>
    <row r="269" spans="1:11" x14ac:dyDescent="0.25">
      <c r="A269" s="2" t="s">
        <v>272</v>
      </c>
      <c r="B269">
        <v>34</v>
      </c>
      <c r="C269" t="s">
        <v>4</v>
      </c>
      <c r="D269" t="str">
        <f>VLOOKUP(A269,[1]Sheet1!$A:$D,2,FALSE)</f>
        <v>Philips Medical Systems</v>
      </c>
      <c r="E269" t="str">
        <f>VLOOKUP(A269,[1]Sheet1!$A:$D,3,FALSE)</f>
        <v>Achieva</v>
      </c>
      <c r="F269">
        <f>VLOOKUP(A269,[1]Sheet1!$A:$D,4,FALSE)</f>
        <v>1.5</v>
      </c>
      <c r="G269">
        <f>VLOOKUP(A269,[2]Sheet1!$A:$D,2,FALSE)</f>
        <v>1</v>
      </c>
      <c r="H269">
        <f>VLOOKUP(A269,[2]Sheet1!$A:$D,3,FALSE)</f>
        <v>0</v>
      </c>
      <c r="I269">
        <f>VLOOKUP(A269,[2]Sheet1!$A:$D,4,FALSE)</f>
        <v>2</v>
      </c>
      <c r="J269" t="str">
        <f>VLOOKUP(A269,[3]Sheet1!$A:$C,2,FALSE)</f>
        <v>AUTO</v>
      </c>
      <c r="K269" t="str">
        <f>VLOOKUP(A269,[3]Sheet1!$A:$C,3,FALSE)</f>
        <v>ALL</v>
      </c>
    </row>
    <row r="270" spans="1:11" x14ac:dyDescent="0.25">
      <c r="A270" s="2" t="s">
        <v>273</v>
      </c>
      <c r="B270">
        <v>78</v>
      </c>
      <c r="C270" t="s">
        <v>4</v>
      </c>
      <c r="D270" t="str">
        <f>VLOOKUP(A270,[1]Sheet1!$A:$D,2,FALSE)</f>
        <v>GE MEDICAL SYSTEMS</v>
      </c>
      <c r="E270" t="str">
        <f>VLOOKUP(A270,[1]Sheet1!$A:$D,3,FALSE)</f>
        <v>DISCOVERY MR750</v>
      </c>
      <c r="F270">
        <f>VLOOKUP(A270,[1]Sheet1!$A:$D,4,FALSE)</f>
        <v>3</v>
      </c>
      <c r="G270">
        <f>VLOOKUP(A270,[2]Sheet1!$A:$D,2,FALSE)</f>
        <v>-1</v>
      </c>
      <c r="H270">
        <f>VLOOKUP(A270,[2]Sheet1!$A:$D,3,FALSE)</f>
        <v>-1</v>
      </c>
      <c r="I270">
        <f>VLOOKUP(A270,[2]Sheet1!$A:$D,4,FALSE)</f>
        <v>4</v>
      </c>
      <c r="J270" t="str">
        <f>VLOOKUP(A270,[3]Sheet1!$A:$C,2,FALSE)</f>
        <v>AUTO</v>
      </c>
      <c r="K270" t="str">
        <f>VLOOKUP(A270,[3]Sheet1!$A:$C,3,FALSE)</f>
        <v>ALL</v>
      </c>
    </row>
    <row r="271" spans="1:11" x14ac:dyDescent="0.25">
      <c r="A271" s="2" t="s">
        <v>274</v>
      </c>
      <c r="B271">
        <v>52</v>
      </c>
      <c r="C271" t="s">
        <v>7</v>
      </c>
      <c r="D271" t="str">
        <f>VLOOKUP(A271,[1]Sheet1!$A:$D,2,FALSE)</f>
        <v>SIEMENS</v>
      </c>
      <c r="E271" t="str">
        <f>VLOOKUP(A271,[1]Sheet1!$A:$D,3,FALSE)</f>
        <v>Verio</v>
      </c>
      <c r="F271">
        <f>VLOOKUP(A271,[1]Sheet1!$A:$D,4,FALSE)</f>
        <v>3</v>
      </c>
      <c r="G271">
        <f>VLOOKUP(A271,[2]Sheet1!$A:$D,2,FALSE)</f>
        <v>0</v>
      </c>
      <c r="H271">
        <f>VLOOKUP(A271,[2]Sheet1!$A:$D,3,FALSE)</f>
        <v>-1</v>
      </c>
      <c r="I271">
        <f>VLOOKUP(A271,[2]Sheet1!$A:$D,4,FALSE)</f>
        <v>4</v>
      </c>
      <c r="J271" t="str">
        <f>VLOOKUP(A271,[3]Sheet1!$A:$C,2,FALSE)</f>
        <v>OBS1</v>
      </c>
      <c r="K271" t="str">
        <f>VLOOKUP(A271,[3]Sheet1!$A:$C,3,FALSE)</f>
        <v>T2</v>
      </c>
    </row>
    <row r="272" spans="1:11" x14ac:dyDescent="0.25">
      <c r="A272" s="2" t="s">
        <v>275</v>
      </c>
      <c r="B272">
        <v>52</v>
      </c>
      <c r="C272" t="s">
        <v>4</v>
      </c>
      <c r="D272" t="str">
        <f>VLOOKUP(A272,[1]Sheet1!$A:$D,2,FALSE)</f>
        <v>SIEMENS</v>
      </c>
      <c r="E272" t="str">
        <f>VLOOKUP(A272,[1]Sheet1!$A:$D,3,FALSE)</f>
        <v>Symphony</v>
      </c>
      <c r="F272">
        <f>VLOOKUP(A272,[1]Sheet1!$A:$D,4,FALSE)</f>
        <v>1.5</v>
      </c>
      <c r="G272">
        <f>VLOOKUP(A272,[2]Sheet1!$A:$D,2,FALSE)</f>
        <v>-1</v>
      </c>
      <c r="H272">
        <f>VLOOKUP(A272,[2]Sheet1!$A:$D,3,FALSE)</f>
        <v>-1</v>
      </c>
      <c r="I272">
        <f>VLOOKUP(A272,[2]Sheet1!$A:$D,4,FALSE)</f>
        <v>4</v>
      </c>
      <c r="J272" t="str">
        <f>VLOOKUP(A272,[3]Sheet1!$A:$C,2,FALSE)</f>
        <v>AUTO</v>
      </c>
      <c r="K272" t="str">
        <f>VLOOKUP(A272,[3]Sheet1!$A:$C,3,FALSE)</f>
        <v>ALL</v>
      </c>
    </row>
    <row r="273" spans="1:11" x14ac:dyDescent="0.25">
      <c r="A273" s="2" t="s">
        <v>276</v>
      </c>
      <c r="B273">
        <v>68</v>
      </c>
      <c r="C273" t="s">
        <v>7</v>
      </c>
      <c r="D273" t="str">
        <f>VLOOKUP(A273,[1]Sheet1!$A:$D,2,FALSE)</f>
        <v>SIEMENS</v>
      </c>
      <c r="E273" t="str">
        <f>VLOOKUP(A273,[1]Sheet1!$A:$D,3,FALSE)</f>
        <v>Avanto</v>
      </c>
      <c r="F273">
        <f>VLOOKUP(A273,[1]Sheet1!$A:$D,4,FALSE)</f>
        <v>1.5</v>
      </c>
      <c r="G273">
        <f>VLOOKUP(A273,[2]Sheet1!$A:$D,2,FALSE)</f>
        <v>-1</v>
      </c>
      <c r="H273">
        <f>VLOOKUP(A273,[2]Sheet1!$A:$D,3,FALSE)</f>
        <v>-1</v>
      </c>
      <c r="I273">
        <f>VLOOKUP(A273,[2]Sheet1!$A:$D,4,FALSE)</f>
        <v>4</v>
      </c>
      <c r="J273" t="str">
        <f>VLOOKUP(A273,[3]Sheet1!$A:$C,2,FALSE)</f>
        <v>OBS1</v>
      </c>
      <c r="K273" t="str">
        <f>VLOOKUP(A273,[3]Sheet1!$A:$C,3,FALSE)</f>
        <v>FLAIR</v>
      </c>
    </row>
    <row r="274" spans="1:11" x14ac:dyDescent="0.25">
      <c r="A274" s="2" t="s">
        <v>277</v>
      </c>
      <c r="B274">
        <v>-1</v>
      </c>
      <c r="C274" t="s">
        <v>7</v>
      </c>
      <c r="D274" t="str">
        <f>VLOOKUP(A274,[1]Sheet1!$A:$D,2,FALSE)</f>
        <v>Philips Medical Systems</v>
      </c>
      <c r="E274" t="str">
        <f>VLOOKUP(A274,[1]Sheet1!$A:$D,3,FALSE)</f>
        <v>Achieva</v>
      </c>
      <c r="F274">
        <f>VLOOKUP(A274,[1]Sheet1!$A:$D,4,FALSE)</f>
        <v>1.5</v>
      </c>
      <c r="G274">
        <f>VLOOKUP(A274,[2]Sheet1!$A:$D,2,FALSE)</f>
        <v>0</v>
      </c>
      <c r="H274">
        <f>VLOOKUP(A274,[2]Sheet1!$A:$D,3,FALSE)</f>
        <v>-1</v>
      </c>
      <c r="I274">
        <f>VLOOKUP(A274,[2]Sheet1!$A:$D,4,FALSE)</f>
        <v>-1</v>
      </c>
      <c r="J274" t="str">
        <f>VLOOKUP(A274,[3]Sheet1!$A:$C,2,FALSE)</f>
        <v>AUTO</v>
      </c>
      <c r="K274" t="str">
        <f>VLOOKUP(A274,[3]Sheet1!$A:$C,3,FALSE)</f>
        <v>ALL</v>
      </c>
    </row>
    <row r="275" spans="1:11" x14ac:dyDescent="0.25">
      <c r="A275" s="2" t="s">
        <v>278</v>
      </c>
      <c r="B275">
        <v>80</v>
      </c>
      <c r="C275" t="s">
        <v>4</v>
      </c>
      <c r="D275" t="str">
        <f>VLOOKUP(A275,[1]Sheet1!$A:$D,2,FALSE)</f>
        <v>SIEMENS</v>
      </c>
      <c r="E275" t="str">
        <f>VLOOKUP(A275,[1]Sheet1!$A:$D,3,FALSE)</f>
        <v>Harmony</v>
      </c>
      <c r="F275">
        <f>VLOOKUP(A275,[1]Sheet1!$A:$D,4,FALSE)</f>
        <v>1</v>
      </c>
      <c r="G275">
        <f>VLOOKUP(A275,[2]Sheet1!$A:$D,2,FALSE)</f>
        <v>-1</v>
      </c>
      <c r="H275">
        <f>VLOOKUP(A275,[2]Sheet1!$A:$D,3,FALSE)</f>
        <v>-1</v>
      </c>
      <c r="I275">
        <f>VLOOKUP(A275,[2]Sheet1!$A:$D,4,FALSE)</f>
        <v>4</v>
      </c>
      <c r="J275" t="str">
        <f>VLOOKUP(A275,[3]Sheet1!$A:$C,2,FALSE)</f>
        <v>OBS1</v>
      </c>
      <c r="K275" t="str">
        <f>VLOOKUP(A275,[3]Sheet1!$A:$C,3,FALSE)</f>
        <v>FLAIR</v>
      </c>
    </row>
    <row r="276" spans="1:11" x14ac:dyDescent="0.25">
      <c r="A276" s="2" t="s">
        <v>279</v>
      </c>
      <c r="B276">
        <v>69</v>
      </c>
      <c r="C276" t="s">
        <v>7</v>
      </c>
      <c r="D276" t="str">
        <f>VLOOKUP(A276,[1]Sheet1!$A:$D,2,FALSE)</f>
        <v>GE MEDICAL SYSTEMS</v>
      </c>
      <c r="E276" t="str">
        <f>VLOOKUP(A276,[1]Sheet1!$A:$D,3,FALSE)</f>
        <v>Optima MR450w</v>
      </c>
      <c r="F276">
        <f>VLOOKUP(A276,[1]Sheet1!$A:$D,4,FALSE)</f>
        <v>1.5</v>
      </c>
      <c r="G276">
        <f>VLOOKUP(A276,[2]Sheet1!$A:$D,2,FALSE)</f>
        <v>0</v>
      </c>
      <c r="H276">
        <f>VLOOKUP(A276,[2]Sheet1!$A:$D,3,FALSE)</f>
        <v>-1</v>
      </c>
      <c r="I276">
        <f>VLOOKUP(A276,[2]Sheet1!$A:$D,4,FALSE)</f>
        <v>4</v>
      </c>
      <c r="J276" t="str">
        <f>VLOOKUP(A276,[3]Sheet1!$A:$C,2,FALSE)</f>
        <v>OBS1</v>
      </c>
      <c r="K276" t="str">
        <f>VLOOKUP(A276,[3]Sheet1!$A:$C,3,FALSE)</f>
        <v>T2</v>
      </c>
    </row>
    <row r="277" spans="1:11" x14ac:dyDescent="0.25">
      <c r="A277" s="2" t="s">
        <v>280</v>
      </c>
      <c r="B277">
        <v>41</v>
      </c>
      <c r="C277" t="s">
        <v>4</v>
      </c>
      <c r="D277" t="str">
        <f>VLOOKUP(A277,[1]Sheet1!$A:$D,2,FALSE)</f>
        <v>SIEMENS</v>
      </c>
      <c r="E277" t="str">
        <f>VLOOKUP(A277,[1]Sheet1!$A:$D,3,FALSE)</f>
        <v>Avanto</v>
      </c>
      <c r="F277">
        <f>VLOOKUP(A277,[1]Sheet1!$A:$D,4,FALSE)</f>
        <v>1.5</v>
      </c>
      <c r="G277">
        <f>VLOOKUP(A277,[2]Sheet1!$A:$D,2,FALSE)</f>
        <v>1</v>
      </c>
      <c r="H277">
        <f>VLOOKUP(A277,[2]Sheet1!$A:$D,3,FALSE)</f>
        <v>-1</v>
      </c>
      <c r="I277">
        <f>VLOOKUP(A277,[2]Sheet1!$A:$D,4,FALSE)</f>
        <v>4</v>
      </c>
      <c r="J277" t="str">
        <f>VLOOKUP(A277,[3]Sheet1!$A:$C,2,FALSE)</f>
        <v>AUTO</v>
      </c>
      <c r="K277" t="str">
        <f>VLOOKUP(A277,[3]Sheet1!$A:$C,3,FALSE)</f>
        <v>ALL</v>
      </c>
    </row>
    <row r="278" spans="1:11" x14ac:dyDescent="0.25">
      <c r="A278" s="2" t="s">
        <v>281</v>
      </c>
      <c r="B278">
        <v>50</v>
      </c>
      <c r="C278" t="s">
        <v>4</v>
      </c>
      <c r="D278" t="str">
        <f>VLOOKUP(A278,[1]Sheet1!$A:$D,2,FALSE)</f>
        <v>SIEMENS</v>
      </c>
      <c r="E278" t="str">
        <f>VLOOKUP(A278,[1]Sheet1!$A:$D,3,FALSE)</f>
        <v>Avanto</v>
      </c>
      <c r="F278">
        <f>VLOOKUP(A278,[1]Sheet1!$A:$D,4,FALSE)</f>
        <v>1.5</v>
      </c>
      <c r="G278">
        <f>VLOOKUP(A278,[2]Sheet1!$A:$D,2,FALSE)</f>
        <v>-1</v>
      </c>
      <c r="H278">
        <f>VLOOKUP(A278,[2]Sheet1!$A:$D,3,FALSE)</f>
        <v>-1</v>
      </c>
      <c r="I278">
        <f>VLOOKUP(A278,[2]Sheet1!$A:$D,4,FALSE)</f>
        <v>3</v>
      </c>
      <c r="J278" t="str">
        <f>VLOOKUP(A278,[3]Sheet1!$A:$C,2,FALSE)</f>
        <v>AUTO</v>
      </c>
      <c r="K278" t="str">
        <f>VLOOKUP(A278,[3]Sheet1!$A:$C,3,FALSE)</f>
        <v>ALL</v>
      </c>
    </row>
    <row r="279" spans="1:11" x14ac:dyDescent="0.25">
      <c r="A279" s="2" t="s">
        <v>282</v>
      </c>
      <c r="B279">
        <v>47</v>
      </c>
      <c r="C279" t="s">
        <v>4</v>
      </c>
      <c r="D279" t="str">
        <f>VLOOKUP(A279,[1]Sheet1!$A:$D,2,FALSE)</f>
        <v>SIEMENS</v>
      </c>
      <c r="E279" t="str">
        <f>VLOOKUP(A279,[1]Sheet1!$A:$D,3,FALSE)</f>
        <v>Aera</v>
      </c>
      <c r="F279">
        <f>VLOOKUP(A279,[1]Sheet1!$A:$D,4,FALSE)</f>
        <v>1.5</v>
      </c>
      <c r="G279">
        <f>VLOOKUP(A279,[2]Sheet1!$A:$D,2,FALSE)</f>
        <v>-1</v>
      </c>
      <c r="H279">
        <f>VLOOKUP(A279,[2]Sheet1!$A:$D,3,FALSE)</f>
        <v>-1</v>
      </c>
      <c r="I279">
        <f>VLOOKUP(A279,[2]Sheet1!$A:$D,4,FALSE)</f>
        <v>4</v>
      </c>
      <c r="J279" t="str">
        <f>VLOOKUP(A279,[3]Sheet1!$A:$C,2,FALSE)</f>
        <v>AUTO</v>
      </c>
      <c r="K279" t="str">
        <f>VLOOKUP(A279,[3]Sheet1!$A:$C,3,FALSE)</f>
        <v>ALL</v>
      </c>
    </row>
    <row r="280" spans="1:11" x14ac:dyDescent="0.25">
      <c r="A280" s="2" t="s">
        <v>283</v>
      </c>
      <c r="B280">
        <v>51</v>
      </c>
      <c r="C280" t="s">
        <v>4</v>
      </c>
      <c r="D280" t="str">
        <f>VLOOKUP(A280,[1]Sheet1!$A:$D,2,FALSE)</f>
        <v>GE MEDICAL SYSTEMS</v>
      </c>
      <c r="E280" t="str">
        <f>VLOOKUP(A280,[1]Sheet1!$A:$D,3,FALSE)</f>
        <v>DISCOVERY MR450</v>
      </c>
      <c r="F280">
        <f>VLOOKUP(A280,[1]Sheet1!$A:$D,4,FALSE)</f>
        <v>1.5</v>
      </c>
      <c r="G280">
        <f>VLOOKUP(A280,[2]Sheet1!$A:$D,2,FALSE)</f>
        <v>1</v>
      </c>
      <c r="H280">
        <f>VLOOKUP(A280,[2]Sheet1!$A:$D,3,FALSE)</f>
        <v>-1</v>
      </c>
      <c r="I280">
        <f>VLOOKUP(A280,[2]Sheet1!$A:$D,4,FALSE)</f>
        <v>4</v>
      </c>
      <c r="J280" t="str">
        <f>VLOOKUP(A280,[3]Sheet1!$A:$C,2,FALSE)</f>
        <v>OBS1</v>
      </c>
      <c r="K280" t="str">
        <f>VLOOKUP(A280,[3]Sheet1!$A:$C,3,FALSE)</f>
        <v>T2</v>
      </c>
    </row>
    <row r="281" spans="1:11" x14ac:dyDescent="0.25">
      <c r="A281" s="2" t="s">
        <v>284</v>
      </c>
      <c r="B281">
        <v>54</v>
      </c>
      <c r="C281" t="s">
        <v>7</v>
      </c>
      <c r="D281" t="str">
        <f>VLOOKUP(A281,[1]Sheet1!$A:$D,2,FALSE)</f>
        <v>GE MEDICAL SYSTEMS</v>
      </c>
      <c r="E281" t="str">
        <f>VLOOKUP(A281,[1]Sheet1!$A:$D,3,FALSE)</f>
        <v>DISCOVERY MR450</v>
      </c>
      <c r="F281">
        <f>VLOOKUP(A281,[1]Sheet1!$A:$D,4,FALSE)</f>
        <v>1.5</v>
      </c>
      <c r="G281">
        <f>VLOOKUP(A281,[2]Sheet1!$A:$D,2,FALSE)</f>
        <v>0</v>
      </c>
      <c r="H281">
        <f>VLOOKUP(A281,[2]Sheet1!$A:$D,3,FALSE)</f>
        <v>0</v>
      </c>
      <c r="I281">
        <f>VLOOKUP(A281,[2]Sheet1!$A:$D,4,FALSE)</f>
        <v>4</v>
      </c>
      <c r="J281" t="str">
        <f>VLOOKUP(A281,[3]Sheet1!$A:$C,2,FALSE)</f>
        <v>OBS1</v>
      </c>
      <c r="K281" t="str">
        <f>VLOOKUP(A281,[3]Sheet1!$A:$C,3,FALSE)</f>
        <v>T2</v>
      </c>
    </row>
    <row r="282" spans="1:11" x14ac:dyDescent="0.25">
      <c r="A282" s="2" t="s">
        <v>285</v>
      </c>
      <c r="B282">
        <v>60</v>
      </c>
      <c r="C282" t="s">
        <v>7</v>
      </c>
      <c r="D282" t="str">
        <f>VLOOKUP(A282,[1]Sheet1!$A:$D,2,FALSE)</f>
        <v>GE MEDICAL SYSTEMS</v>
      </c>
      <c r="E282" t="str">
        <f>VLOOKUP(A282,[1]Sheet1!$A:$D,3,FALSE)</f>
        <v>DISCOVERY MR450</v>
      </c>
      <c r="F282">
        <f>VLOOKUP(A282,[1]Sheet1!$A:$D,4,FALSE)</f>
        <v>1.5</v>
      </c>
      <c r="G282">
        <f>VLOOKUP(A282,[2]Sheet1!$A:$D,2,FALSE)</f>
        <v>0</v>
      </c>
      <c r="H282">
        <f>VLOOKUP(A282,[2]Sheet1!$A:$D,3,FALSE)</f>
        <v>-1</v>
      </c>
      <c r="I282">
        <f>VLOOKUP(A282,[2]Sheet1!$A:$D,4,FALSE)</f>
        <v>4</v>
      </c>
      <c r="J282" t="str">
        <f>VLOOKUP(A282,[3]Sheet1!$A:$C,2,FALSE)</f>
        <v>OBS1</v>
      </c>
      <c r="K282" t="str">
        <f>VLOOKUP(A282,[3]Sheet1!$A:$C,3,FALSE)</f>
        <v>T2</v>
      </c>
    </row>
    <row r="283" spans="1:11" x14ac:dyDescent="0.25">
      <c r="A283" s="2" t="s">
        <v>286</v>
      </c>
      <c r="B283">
        <v>74</v>
      </c>
      <c r="C283" t="s">
        <v>4</v>
      </c>
      <c r="D283" t="str">
        <f>VLOOKUP(A283,[1]Sheet1!$A:$D,2,FALSE)</f>
        <v>SIEMENS</v>
      </c>
      <c r="E283" t="str">
        <f>VLOOKUP(A283,[1]Sheet1!$A:$D,3,FALSE)</f>
        <v>Avanto</v>
      </c>
      <c r="F283">
        <f>VLOOKUP(A283,[1]Sheet1!$A:$D,4,FALSE)</f>
        <v>1.5</v>
      </c>
      <c r="G283">
        <f>VLOOKUP(A283,[2]Sheet1!$A:$D,2,FALSE)</f>
        <v>0</v>
      </c>
      <c r="H283">
        <f>VLOOKUP(A283,[2]Sheet1!$A:$D,3,FALSE)</f>
        <v>-1</v>
      </c>
      <c r="I283">
        <f>VLOOKUP(A283,[2]Sheet1!$A:$D,4,FALSE)</f>
        <v>4</v>
      </c>
      <c r="J283" t="str">
        <f>VLOOKUP(A283,[3]Sheet1!$A:$C,2,FALSE)</f>
        <v>OBS1</v>
      </c>
      <c r="K283" t="str">
        <f>VLOOKUP(A283,[3]Sheet1!$A:$C,3,FALSE)</f>
        <v>T2</v>
      </c>
    </row>
    <row r="284" spans="1:11" x14ac:dyDescent="0.25">
      <c r="A284" s="2" t="s">
        <v>287</v>
      </c>
      <c r="B284">
        <v>66</v>
      </c>
      <c r="C284" t="s">
        <v>4</v>
      </c>
      <c r="D284" t="str">
        <f>VLOOKUP(A284,[1]Sheet1!$A:$D,2,FALSE)</f>
        <v>SIEMENS</v>
      </c>
      <c r="E284" t="str">
        <f>VLOOKUP(A284,[1]Sheet1!$A:$D,3,FALSE)</f>
        <v>Harmony</v>
      </c>
      <c r="F284">
        <f>VLOOKUP(A284,[1]Sheet1!$A:$D,4,FALSE)</f>
        <v>1</v>
      </c>
      <c r="G284">
        <f>VLOOKUP(A284,[2]Sheet1!$A:$D,2,FALSE)</f>
        <v>-1</v>
      </c>
      <c r="H284">
        <f>VLOOKUP(A284,[2]Sheet1!$A:$D,3,FALSE)</f>
        <v>-1</v>
      </c>
      <c r="I284">
        <f>VLOOKUP(A284,[2]Sheet1!$A:$D,4,FALSE)</f>
        <v>4</v>
      </c>
      <c r="J284" t="str">
        <f>VLOOKUP(A284,[3]Sheet1!$A:$C,2,FALSE)</f>
        <v>AUTO</v>
      </c>
      <c r="K284" t="str">
        <f>VLOOKUP(A284,[3]Sheet1!$A:$C,3,FALSE)</f>
        <v>ALL</v>
      </c>
    </row>
    <row r="285" spans="1:11" x14ac:dyDescent="0.25">
      <c r="A285" s="2" t="s">
        <v>288</v>
      </c>
      <c r="B285">
        <v>50</v>
      </c>
      <c r="C285" t="s">
        <v>7</v>
      </c>
      <c r="D285" t="str">
        <f>VLOOKUP(A285,[1]Sheet1!$A:$D,2,FALSE)</f>
        <v>Philips Medical Systems</v>
      </c>
      <c r="E285" t="str">
        <f>VLOOKUP(A285,[1]Sheet1!$A:$D,3,FALSE)</f>
        <v>NT Intera</v>
      </c>
      <c r="F285">
        <f>VLOOKUP(A285,[1]Sheet1!$A:$D,4,FALSE)</f>
        <v>1.5</v>
      </c>
      <c r="G285">
        <f>VLOOKUP(A285,[2]Sheet1!$A:$D,2,FALSE)</f>
        <v>-1</v>
      </c>
      <c r="H285">
        <f>VLOOKUP(A285,[2]Sheet1!$A:$D,3,FALSE)</f>
        <v>-1</v>
      </c>
      <c r="I285">
        <f>VLOOKUP(A285,[2]Sheet1!$A:$D,4,FALSE)</f>
        <v>4</v>
      </c>
      <c r="J285" t="str">
        <f>VLOOKUP(A285,[3]Sheet1!$A:$C,2,FALSE)</f>
        <v>AUTO</v>
      </c>
      <c r="K285" t="str">
        <f>VLOOKUP(A285,[3]Sheet1!$A:$C,3,FALSE)</f>
        <v>ALL</v>
      </c>
    </row>
    <row r="286" spans="1:11" x14ac:dyDescent="0.25">
      <c r="A286" s="2" t="s">
        <v>289</v>
      </c>
      <c r="B286">
        <v>64</v>
      </c>
      <c r="C286" t="s">
        <v>4</v>
      </c>
      <c r="D286" t="str">
        <f>VLOOKUP(A286,[1]Sheet1!$A:$D,2,FALSE)</f>
        <v>SIEMENS</v>
      </c>
      <c r="E286" t="str">
        <f>VLOOKUP(A286,[1]Sheet1!$A:$D,3,FALSE)</f>
        <v>Harmony</v>
      </c>
      <c r="F286">
        <f>VLOOKUP(A286,[1]Sheet1!$A:$D,4,FALSE)</f>
        <v>1</v>
      </c>
      <c r="G286">
        <f>VLOOKUP(A286,[2]Sheet1!$A:$D,2,FALSE)</f>
        <v>0</v>
      </c>
      <c r="H286">
        <f>VLOOKUP(A286,[2]Sheet1!$A:$D,3,FALSE)</f>
        <v>-1</v>
      </c>
      <c r="I286">
        <f>VLOOKUP(A286,[2]Sheet1!$A:$D,4,FALSE)</f>
        <v>4</v>
      </c>
      <c r="J286" t="str">
        <f>VLOOKUP(A286,[3]Sheet1!$A:$C,2,FALSE)</f>
        <v>OBS1</v>
      </c>
      <c r="K286" t="str">
        <f>VLOOKUP(A286,[3]Sheet1!$A:$C,3,FALSE)</f>
        <v>FLAIR</v>
      </c>
    </row>
    <row r="287" spans="1:11" x14ac:dyDescent="0.25">
      <c r="A287" s="2" t="s">
        <v>290</v>
      </c>
      <c r="B287">
        <v>35</v>
      </c>
      <c r="C287" t="s">
        <v>7</v>
      </c>
      <c r="D287" t="str">
        <f>VLOOKUP(A287,[1]Sheet1!$A:$D,2,FALSE)</f>
        <v>SIEMENS</v>
      </c>
      <c r="E287" t="str">
        <f>VLOOKUP(A287,[1]Sheet1!$A:$D,3,FALSE)</f>
        <v>Symphony</v>
      </c>
      <c r="F287">
        <f>VLOOKUP(A287,[1]Sheet1!$A:$D,4,FALSE)</f>
        <v>1.5</v>
      </c>
      <c r="G287">
        <f>VLOOKUP(A287,[2]Sheet1!$A:$D,2,FALSE)</f>
        <v>1</v>
      </c>
      <c r="H287">
        <f>VLOOKUP(A287,[2]Sheet1!$A:$D,3,FALSE)</f>
        <v>1</v>
      </c>
      <c r="I287">
        <f>VLOOKUP(A287,[2]Sheet1!$A:$D,4,FALSE)</f>
        <v>2</v>
      </c>
      <c r="J287" t="str">
        <f>VLOOKUP(A287,[3]Sheet1!$A:$C,2,FALSE)</f>
        <v>OBS2</v>
      </c>
      <c r="K287" t="str">
        <f>VLOOKUP(A287,[3]Sheet1!$A:$C,3,FALSE)</f>
        <v>FLAIR</v>
      </c>
    </row>
    <row r="288" spans="1:11" x14ac:dyDescent="0.25">
      <c r="A288" s="2" t="s">
        <v>291</v>
      </c>
      <c r="B288">
        <v>56</v>
      </c>
      <c r="C288" t="s">
        <v>4</v>
      </c>
      <c r="D288" t="str">
        <f>VLOOKUP(A288,[1]Sheet1!$A:$D,2,FALSE)</f>
        <v>Philips Medical Systems</v>
      </c>
      <c r="E288" t="str">
        <f>VLOOKUP(A288,[1]Sheet1!$A:$D,3,FALSE)</f>
        <v>Intera</v>
      </c>
      <c r="F288">
        <f>VLOOKUP(A288,[1]Sheet1!$A:$D,4,FALSE)</f>
        <v>1.5</v>
      </c>
      <c r="G288">
        <f>VLOOKUP(A288,[2]Sheet1!$A:$D,2,FALSE)</f>
        <v>-1</v>
      </c>
      <c r="H288">
        <f>VLOOKUP(A288,[2]Sheet1!$A:$D,3,FALSE)</f>
        <v>-1</v>
      </c>
      <c r="I288">
        <f>VLOOKUP(A288,[2]Sheet1!$A:$D,4,FALSE)</f>
        <v>4</v>
      </c>
      <c r="J288" t="str">
        <f>VLOOKUP(A288,[3]Sheet1!$A:$C,2,FALSE)</f>
        <v>AUTO</v>
      </c>
      <c r="K288" t="str">
        <f>VLOOKUP(A288,[3]Sheet1!$A:$C,3,FALSE)</f>
        <v>ALL</v>
      </c>
    </row>
    <row r="289" spans="1:11" x14ac:dyDescent="0.25">
      <c r="A289" s="2" t="s">
        <v>292</v>
      </c>
      <c r="B289">
        <v>62</v>
      </c>
      <c r="C289" t="s">
        <v>4</v>
      </c>
      <c r="D289" t="str">
        <f>VLOOKUP(A289,[1]Sheet1!$A:$D,2,FALSE)</f>
        <v>Philips Medical Systems</v>
      </c>
      <c r="E289" t="str">
        <f>VLOOKUP(A289,[1]Sheet1!$A:$D,3,FALSE)</f>
        <v>Intera</v>
      </c>
      <c r="F289">
        <f>VLOOKUP(A289,[1]Sheet1!$A:$D,4,FALSE)</f>
        <v>1.5</v>
      </c>
      <c r="G289">
        <f>VLOOKUP(A289,[2]Sheet1!$A:$D,2,FALSE)</f>
        <v>-1</v>
      </c>
      <c r="H289">
        <f>VLOOKUP(A289,[2]Sheet1!$A:$D,3,FALSE)</f>
        <v>-1</v>
      </c>
      <c r="I289">
        <f>VLOOKUP(A289,[2]Sheet1!$A:$D,4,FALSE)</f>
        <v>3</v>
      </c>
      <c r="J289" t="str">
        <f>VLOOKUP(A289,[3]Sheet1!$A:$C,2,FALSE)</f>
        <v>AUTO</v>
      </c>
      <c r="K289" t="str">
        <f>VLOOKUP(A289,[3]Sheet1!$A:$C,3,FALSE)</f>
        <v>ALL</v>
      </c>
    </row>
    <row r="290" spans="1:11" x14ac:dyDescent="0.25">
      <c r="A290" s="2" t="s">
        <v>293</v>
      </c>
      <c r="B290">
        <v>73</v>
      </c>
      <c r="C290" t="s">
        <v>7</v>
      </c>
      <c r="D290" t="str">
        <f>VLOOKUP(A290,[1]Sheet1!$A:$D,2,FALSE)</f>
        <v>SIEMENS</v>
      </c>
      <c r="E290" t="str">
        <f>VLOOKUP(A290,[1]Sheet1!$A:$D,3,FALSE)</f>
        <v>Avanto</v>
      </c>
      <c r="F290">
        <f>VLOOKUP(A290,[1]Sheet1!$A:$D,4,FALSE)</f>
        <v>1.5</v>
      </c>
      <c r="G290">
        <f>VLOOKUP(A290,[2]Sheet1!$A:$D,2,FALSE)</f>
        <v>-1</v>
      </c>
      <c r="H290">
        <f>VLOOKUP(A290,[2]Sheet1!$A:$D,3,FALSE)</f>
        <v>-1</v>
      </c>
      <c r="I290">
        <f>VLOOKUP(A290,[2]Sheet1!$A:$D,4,FALSE)</f>
        <v>4</v>
      </c>
      <c r="J290" t="str">
        <f>VLOOKUP(A290,[3]Sheet1!$A:$C,2,FALSE)</f>
        <v>OBS1</v>
      </c>
      <c r="K290" t="str">
        <f>VLOOKUP(A290,[3]Sheet1!$A:$C,3,FALSE)</f>
        <v>FLAIR</v>
      </c>
    </row>
    <row r="291" spans="1:11" x14ac:dyDescent="0.25">
      <c r="A291" s="2" t="s">
        <v>294</v>
      </c>
      <c r="B291">
        <v>68</v>
      </c>
      <c r="C291" t="s">
        <v>7</v>
      </c>
      <c r="D291" t="str">
        <f>VLOOKUP(A291,[1]Sheet1!$A:$D,2,FALSE)</f>
        <v>Philips Medical Systems</v>
      </c>
      <c r="E291" t="str">
        <f>VLOOKUP(A291,[1]Sheet1!$A:$D,3,FALSE)</f>
        <v>Achieva</v>
      </c>
      <c r="F291">
        <f>VLOOKUP(A291,[1]Sheet1!$A:$D,4,FALSE)</f>
        <v>1.5</v>
      </c>
      <c r="G291">
        <f>VLOOKUP(A291,[2]Sheet1!$A:$D,2,FALSE)</f>
        <v>0</v>
      </c>
      <c r="H291">
        <f>VLOOKUP(A291,[2]Sheet1!$A:$D,3,FALSE)</f>
        <v>-1</v>
      </c>
      <c r="I291">
        <f>VLOOKUP(A291,[2]Sheet1!$A:$D,4,FALSE)</f>
        <v>4</v>
      </c>
      <c r="J291" t="str">
        <f>VLOOKUP(A291,[3]Sheet1!$A:$C,2,FALSE)</f>
        <v>AUTO</v>
      </c>
      <c r="K291" t="str">
        <f>VLOOKUP(A291,[3]Sheet1!$A:$C,3,FALSE)</f>
        <v>ALL</v>
      </c>
    </row>
    <row r="292" spans="1:11" x14ac:dyDescent="0.25">
      <c r="A292" s="2" t="s">
        <v>295</v>
      </c>
      <c r="B292">
        <v>61</v>
      </c>
      <c r="C292" t="s">
        <v>7</v>
      </c>
      <c r="D292" t="str">
        <f>VLOOKUP(A292,[1]Sheet1!$A:$D,2,FALSE)</f>
        <v>SIEMENS</v>
      </c>
      <c r="E292" t="str">
        <f>VLOOKUP(A292,[1]Sheet1!$A:$D,3,FALSE)</f>
        <v>Harmony</v>
      </c>
      <c r="F292">
        <f>VLOOKUP(A292,[1]Sheet1!$A:$D,4,FALSE)</f>
        <v>1</v>
      </c>
      <c r="G292">
        <f>VLOOKUP(A292,[2]Sheet1!$A:$D,2,FALSE)</f>
        <v>-1</v>
      </c>
      <c r="H292">
        <f>VLOOKUP(A292,[2]Sheet1!$A:$D,3,FALSE)</f>
        <v>-1</v>
      </c>
      <c r="I292">
        <f>VLOOKUP(A292,[2]Sheet1!$A:$D,4,FALSE)</f>
        <v>4</v>
      </c>
      <c r="J292" t="str">
        <f>VLOOKUP(A292,[3]Sheet1!$A:$C,2,FALSE)</f>
        <v>OBS1</v>
      </c>
      <c r="K292" t="str">
        <f>VLOOKUP(A292,[3]Sheet1!$A:$C,3,FALSE)</f>
        <v>T2</v>
      </c>
    </row>
    <row r="293" spans="1:11" x14ac:dyDescent="0.25">
      <c r="A293" s="2" t="s">
        <v>296</v>
      </c>
      <c r="B293">
        <v>56</v>
      </c>
      <c r="C293" t="s">
        <v>4</v>
      </c>
      <c r="D293" t="str">
        <f>VLOOKUP(A293,[1]Sheet1!$A:$D,2,FALSE)</f>
        <v>SIEMENS</v>
      </c>
      <c r="E293" t="str">
        <f>VLOOKUP(A293,[1]Sheet1!$A:$D,3,FALSE)</f>
        <v>Skyra</v>
      </c>
      <c r="F293">
        <f>VLOOKUP(A293,[1]Sheet1!$A:$D,4,FALSE)</f>
        <v>3</v>
      </c>
      <c r="G293">
        <f>VLOOKUP(A293,[2]Sheet1!$A:$D,2,FALSE)</f>
        <v>0</v>
      </c>
      <c r="H293">
        <f>VLOOKUP(A293,[2]Sheet1!$A:$D,3,FALSE)</f>
        <v>-1</v>
      </c>
      <c r="I293">
        <f>VLOOKUP(A293,[2]Sheet1!$A:$D,4,FALSE)</f>
        <v>4</v>
      </c>
      <c r="J293" t="str">
        <f>VLOOKUP(A293,[3]Sheet1!$A:$C,2,FALSE)</f>
        <v>OBS1</v>
      </c>
      <c r="K293" t="str">
        <f>VLOOKUP(A293,[3]Sheet1!$A:$C,3,FALSE)</f>
        <v>T2</v>
      </c>
    </row>
    <row r="294" spans="1:11" x14ac:dyDescent="0.25">
      <c r="A294" s="2" t="s">
        <v>297</v>
      </c>
      <c r="B294">
        <v>80</v>
      </c>
      <c r="C294" t="s">
        <v>7</v>
      </c>
      <c r="D294" t="str">
        <f>VLOOKUP(A294,[1]Sheet1!$A:$D,2,FALSE)</f>
        <v>Philips Medical Systems</v>
      </c>
      <c r="E294" t="str">
        <f>VLOOKUP(A294,[1]Sheet1!$A:$D,3,FALSE)</f>
        <v>Ingenia</v>
      </c>
      <c r="F294">
        <f>VLOOKUP(A294,[1]Sheet1!$A:$D,4,FALSE)</f>
        <v>1.5</v>
      </c>
      <c r="G294">
        <f>VLOOKUP(A294,[2]Sheet1!$A:$D,2,FALSE)</f>
        <v>0</v>
      </c>
      <c r="H294">
        <f>VLOOKUP(A294,[2]Sheet1!$A:$D,3,FALSE)</f>
        <v>-1</v>
      </c>
      <c r="I294">
        <f>VLOOKUP(A294,[2]Sheet1!$A:$D,4,FALSE)</f>
        <v>4</v>
      </c>
      <c r="J294" t="str">
        <f>VLOOKUP(A294,[3]Sheet1!$A:$C,2,FALSE)</f>
        <v>OBS1</v>
      </c>
      <c r="K294" t="str">
        <f>VLOOKUP(A294,[3]Sheet1!$A:$C,3,FALSE)</f>
        <v>T2</v>
      </c>
    </row>
    <row r="295" spans="1:11" x14ac:dyDescent="0.25">
      <c r="A295" s="2" t="s">
        <v>298</v>
      </c>
      <c r="B295">
        <v>77</v>
      </c>
      <c r="C295" t="s">
        <v>7</v>
      </c>
      <c r="D295" t="str">
        <f>VLOOKUP(A295,[1]Sheet1!$A:$D,2,FALSE)</f>
        <v>SIEMENS</v>
      </c>
      <c r="E295" t="str">
        <f>VLOOKUP(A295,[1]Sheet1!$A:$D,3,FALSE)</f>
        <v>Aera</v>
      </c>
      <c r="F295">
        <f>VLOOKUP(A295,[1]Sheet1!$A:$D,4,FALSE)</f>
        <v>1.5</v>
      </c>
      <c r="G295">
        <f>VLOOKUP(A295,[2]Sheet1!$A:$D,2,FALSE)</f>
        <v>0</v>
      </c>
      <c r="H295">
        <f>VLOOKUP(A295,[2]Sheet1!$A:$D,3,FALSE)</f>
        <v>-1</v>
      </c>
      <c r="I295">
        <f>VLOOKUP(A295,[2]Sheet1!$A:$D,4,FALSE)</f>
        <v>4</v>
      </c>
      <c r="J295" t="str">
        <f>VLOOKUP(A295,[3]Sheet1!$A:$C,2,FALSE)</f>
        <v>AUTO</v>
      </c>
      <c r="K295" t="str">
        <f>VLOOKUP(A295,[3]Sheet1!$A:$C,3,FALSE)</f>
        <v>ALL</v>
      </c>
    </row>
    <row r="296" spans="1:11" x14ac:dyDescent="0.25">
      <c r="A296" s="2" t="s">
        <v>299</v>
      </c>
      <c r="B296">
        <v>66</v>
      </c>
      <c r="C296" t="s">
        <v>4</v>
      </c>
      <c r="D296" t="str">
        <f>VLOOKUP(A296,[1]Sheet1!$A:$D,2,FALSE)</f>
        <v>SIEMENS</v>
      </c>
      <c r="E296" t="str">
        <f>VLOOKUP(A296,[1]Sheet1!$A:$D,3,FALSE)</f>
        <v>Avanto</v>
      </c>
      <c r="F296">
        <f>VLOOKUP(A296,[1]Sheet1!$A:$D,4,FALSE)</f>
        <v>1.5</v>
      </c>
      <c r="G296">
        <f>VLOOKUP(A296,[2]Sheet1!$A:$D,2,FALSE)</f>
        <v>-1</v>
      </c>
      <c r="H296">
        <f>VLOOKUP(A296,[2]Sheet1!$A:$D,3,FALSE)</f>
        <v>-1</v>
      </c>
      <c r="I296">
        <f>VLOOKUP(A296,[2]Sheet1!$A:$D,4,FALSE)</f>
        <v>4</v>
      </c>
      <c r="J296" t="str">
        <f>VLOOKUP(A296,[3]Sheet1!$A:$C,2,FALSE)</f>
        <v>AUTO</v>
      </c>
      <c r="K296" t="str">
        <f>VLOOKUP(A296,[3]Sheet1!$A:$C,3,FALSE)</f>
        <v>ALL</v>
      </c>
    </row>
    <row r="297" spans="1:11" x14ac:dyDescent="0.25">
      <c r="A297" s="2" t="s">
        <v>300</v>
      </c>
      <c r="B297">
        <v>67</v>
      </c>
      <c r="C297" t="s">
        <v>4</v>
      </c>
      <c r="D297" t="str">
        <f>VLOOKUP(A297,[1]Sheet1!$A:$D,2,FALSE)</f>
        <v>Philips Medical Systems</v>
      </c>
      <c r="E297" t="str">
        <f>VLOOKUP(A297,[1]Sheet1!$A:$D,3,FALSE)</f>
        <v>Intera</v>
      </c>
      <c r="F297">
        <f>VLOOKUP(A297,[1]Sheet1!$A:$D,4,FALSE)</f>
        <v>1</v>
      </c>
      <c r="G297">
        <f>VLOOKUP(A297,[2]Sheet1!$A:$D,2,FALSE)</f>
        <v>-1</v>
      </c>
      <c r="H297">
        <f>VLOOKUP(A297,[2]Sheet1!$A:$D,3,FALSE)</f>
        <v>-1</v>
      </c>
      <c r="I297">
        <f>VLOOKUP(A297,[2]Sheet1!$A:$D,4,FALSE)</f>
        <v>4</v>
      </c>
      <c r="J297" t="str">
        <f>VLOOKUP(A297,[3]Sheet1!$A:$C,2,FALSE)</f>
        <v>AUTO</v>
      </c>
      <c r="K297" t="str">
        <f>VLOOKUP(A297,[3]Sheet1!$A:$C,3,FALSE)</f>
        <v>ALL</v>
      </c>
    </row>
    <row r="298" spans="1:11" x14ac:dyDescent="0.25">
      <c r="A298" s="2" t="s">
        <v>301</v>
      </c>
      <c r="B298">
        <v>21</v>
      </c>
      <c r="C298" t="s">
        <v>4</v>
      </c>
      <c r="D298" t="str">
        <f>VLOOKUP(A298,[1]Sheet1!$A:$D,2,FALSE)</f>
        <v>Philips Medical Systems</v>
      </c>
      <c r="E298" t="str">
        <f>VLOOKUP(A298,[1]Sheet1!$A:$D,3,FALSE)</f>
        <v>Achieva</v>
      </c>
      <c r="F298">
        <f>VLOOKUP(A298,[1]Sheet1!$A:$D,4,FALSE)</f>
        <v>1.5</v>
      </c>
      <c r="G298">
        <f>VLOOKUP(A298,[2]Sheet1!$A:$D,2,FALSE)</f>
        <v>1</v>
      </c>
      <c r="H298">
        <f>VLOOKUP(A298,[2]Sheet1!$A:$D,3,FALSE)</f>
        <v>0</v>
      </c>
      <c r="I298">
        <f>VLOOKUP(A298,[2]Sheet1!$A:$D,4,FALSE)</f>
        <v>2</v>
      </c>
      <c r="J298" t="str">
        <f>VLOOKUP(A298,[3]Sheet1!$A:$C,2,FALSE)</f>
        <v>OBS2</v>
      </c>
      <c r="K298" t="str">
        <f>VLOOKUP(A298,[3]Sheet1!$A:$C,3,FALSE)</f>
        <v>FLAIR</v>
      </c>
    </row>
    <row r="299" spans="1:11" x14ac:dyDescent="0.25">
      <c r="A299" s="2" t="s">
        <v>302</v>
      </c>
      <c r="B299">
        <v>69</v>
      </c>
      <c r="C299" t="s">
        <v>4</v>
      </c>
      <c r="D299" t="str">
        <f>VLOOKUP(A299,[1]Sheet1!$A:$D,2,FALSE)</f>
        <v>Philips Medical Systems</v>
      </c>
      <c r="E299" t="str">
        <f>VLOOKUP(A299,[1]Sheet1!$A:$D,3,FALSE)</f>
        <v>Intera</v>
      </c>
      <c r="F299">
        <f>VLOOKUP(A299,[1]Sheet1!$A:$D,4,FALSE)</f>
        <v>1.5</v>
      </c>
      <c r="G299">
        <f>VLOOKUP(A299,[2]Sheet1!$A:$D,2,FALSE)</f>
        <v>0</v>
      </c>
      <c r="H299">
        <f>VLOOKUP(A299,[2]Sheet1!$A:$D,3,FALSE)</f>
        <v>-1</v>
      </c>
      <c r="I299">
        <f>VLOOKUP(A299,[2]Sheet1!$A:$D,4,FALSE)</f>
        <v>4</v>
      </c>
      <c r="J299" t="str">
        <f>VLOOKUP(A299,[3]Sheet1!$A:$C,2,FALSE)</f>
        <v>OBS1</v>
      </c>
      <c r="K299" t="str">
        <f>VLOOKUP(A299,[3]Sheet1!$A:$C,3,FALSE)</f>
        <v>T2</v>
      </c>
    </row>
    <row r="300" spans="1:11" x14ac:dyDescent="0.25">
      <c r="A300" s="2" t="s">
        <v>303</v>
      </c>
      <c r="B300">
        <v>73</v>
      </c>
      <c r="C300" t="s">
        <v>7</v>
      </c>
      <c r="D300" t="str">
        <f>VLOOKUP(A300,[1]Sheet1!$A:$D,2,FALSE)</f>
        <v>Philips Medical Systems</v>
      </c>
      <c r="E300" t="str">
        <f>VLOOKUP(A300,[1]Sheet1!$A:$D,3,FALSE)</f>
        <v>Intera</v>
      </c>
      <c r="F300">
        <f>VLOOKUP(A300,[1]Sheet1!$A:$D,4,FALSE)</f>
        <v>1.5</v>
      </c>
      <c r="G300">
        <f>VLOOKUP(A300,[2]Sheet1!$A:$D,2,FALSE)</f>
        <v>0</v>
      </c>
      <c r="H300">
        <f>VLOOKUP(A300,[2]Sheet1!$A:$D,3,FALSE)</f>
        <v>-1</v>
      </c>
      <c r="I300">
        <f>VLOOKUP(A300,[2]Sheet1!$A:$D,4,FALSE)</f>
        <v>4</v>
      </c>
      <c r="J300" t="str">
        <f>VLOOKUP(A300,[3]Sheet1!$A:$C,2,FALSE)</f>
        <v>AUTO</v>
      </c>
      <c r="K300" t="str">
        <f>VLOOKUP(A300,[3]Sheet1!$A:$C,3,FALSE)</f>
        <v>ALL</v>
      </c>
    </row>
    <row r="301" spans="1:11" x14ac:dyDescent="0.25">
      <c r="A301" s="2" t="s">
        <v>304</v>
      </c>
      <c r="B301">
        <v>37</v>
      </c>
      <c r="C301" t="s">
        <v>4</v>
      </c>
      <c r="D301" t="str">
        <f>VLOOKUP(A301,[1]Sheet1!$A:$D,2,FALSE)</f>
        <v>GE MEDICAL SYSTEMS</v>
      </c>
      <c r="E301" t="str">
        <f>VLOOKUP(A301,[1]Sheet1!$A:$D,3,FALSE)</f>
        <v>GENESIS_SIGNA</v>
      </c>
      <c r="F301">
        <f>VLOOKUP(A301,[1]Sheet1!$A:$D,4,FALSE)</f>
        <v>1</v>
      </c>
      <c r="G301">
        <f>VLOOKUP(A301,[2]Sheet1!$A:$D,2,FALSE)</f>
        <v>-1</v>
      </c>
      <c r="H301">
        <f>VLOOKUP(A301,[2]Sheet1!$A:$D,3,FALSE)</f>
        <v>-1</v>
      </c>
      <c r="I301">
        <f>VLOOKUP(A301,[2]Sheet1!$A:$D,4,FALSE)</f>
        <v>3</v>
      </c>
      <c r="J301" t="str">
        <f>VLOOKUP(A301,[3]Sheet1!$A:$C,2,FALSE)</f>
        <v>AUTO</v>
      </c>
      <c r="K301" t="str">
        <f>VLOOKUP(A301,[3]Sheet1!$A:$C,3,FALSE)</f>
        <v>ALL</v>
      </c>
    </row>
    <row r="302" spans="1:11" x14ac:dyDescent="0.25">
      <c r="A302" s="2" t="s">
        <v>305</v>
      </c>
      <c r="B302">
        <v>36</v>
      </c>
      <c r="C302" t="s">
        <v>4</v>
      </c>
      <c r="D302" t="str">
        <f>VLOOKUP(A302,[1]Sheet1!$A:$D,2,FALSE)</f>
        <v>GE MEDICAL SYSTEMS</v>
      </c>
      <c r="E302" t="str">
        <f>VLOOKUP(A302,[1]Sheet1!$A:$D,3,FALSE)</f>
        <v>DISCOVERY MR750</v>
      </c>
      <c r="F302">
        <f>VLOOKUP(A302,[1]Sheet1!$A:$D,4,FALSE)</f>
        <v>3</v>
      </c>
      <c r="G302">
        <f>VLOOKUP(A302,[2]Sheet1!$A:$D,2,FALSE)</f>
        <v>1</v>
      </c>
      <c r="H302">
        <f>VLOOKUP(A302,[2]Sheet1!$A:$D,3,FALSE)</f>
        <v>0</v>
      </c>
      <c r="I302">
        <f>VLOOKUP(A302,[2]Sheet1!$A:$D,4,FALSE)</f>
        <v>2</v>
      </c>
      <c r="J302" t="str">
        <f>VLOOKUP(A302,[3]Sheet1!$A:$C,2,FALSE)</f>
        <v>OBS2</v>
      </c>
      <c r="K302" t="str">
        <f>VLOOKUP(A302,[3]Sheet1!$A:$C,3,FALSE)</f>
        <v>FLAIR</v>
      </c>
    </row>
    <row r="303" spans="1:11" x14ac:dyDescent="0.25">
      <c r="A303" s="2" t="s">
        <v>306</v>
      </c>
      <c r="B303">
        <v>79</v>
      </c>
      <c r="C303" t="s">
        <v>4</v>
      </c>
      <c r="D303" t="str">
        <f>VLOOKUP(A303,[1]Sheet1!$A:$D,2,FALSE)</f>
        <v>SIEMENS</v>
      </c>
      <c r="E303" t="str">
        <f>VLOOKUP(A303,[1]Sheet1!$A:$D,3,FALSE)</f>
        <v>Aera</v>
      </c>
      <c r="F303">
        <f>VLOOKUP(A303,[1]Sheet1!$A:$D,4,FALSE)</f>
        <v>1.5</v>
      </c>
      <c r="G303">
        <f>VLOOKUP(A303,[2]Sheet1!$A:$D,2,FALSE)</f>
        <v>0</v>
      </c>
      <c r="H303">
        <f>VLOOKUP(A303,[2]Sheet1!$A:$D,3,FALSE)</f>
        <v>-1</v>
      </c>
      <c r="I303">
        <f>VLOOKUP(A303,[2]Sheet1!$A:$D,4,FALSE)</f>
        <v>4</v>
      </c>
      <c r="J303" t="str">
        <f>VLOOKUP(A303,[3]Sheet1!$A:$C,2,FALSE)</f>
        <v>OBS1</v>
      </c>
      <c r="K303" t="str">
        <f>VLOOKUP(A303,[3]Sheet1!$A:$C,3,FALSE)</f>
        <v>T2</v>
      </c>
    </row>
    <row r="304" spans="1:11" x14ac:dyDescent="0.25">
      <c r="A304" s="2" t="s">
        <v>307</v>
      </c>
      <c r="B304">
        <v>67</v>
      </c>
      <c r="C304" t="s">
        <v>4</v>
      </c>
      <c r="D304" t="str">
        <f>VLOOKUP(A304,[1]Sheet1!$A:$D,2,FALSE)</f>
        <v>Philips Medical Systems</v>
      </c>
      <c r="E304" t="str">
        <f>VLOOKUP(A304,[1]Sheet1!$A:$D,3,FALSE)</f>
        <v>Intera</v>
      </c>
      <c r="F304">
        <f>VLOOKUP(A304,[1]Sheet1!$A:$D,4,FALSE)</f>
        <v>1.5</v>
      </c>
      <c r="G304">
        <f>VLOOKUP(A304,[2]Sheet1!$A:$D,2,FALSE)</f>
        <v>0</v>
      </c>
      <c r="H304">
        <f>VLOOKUP(A304,[2]Sheet1!$A:$D,3,FALSE)</f>
        <v>-1</v>
      </c>
      <c r="I304">
        <f>VLOOKUP(A304,[2]Sheet1!$A:$D,4,FALSE)</f>
        <v>4</v>
      </c>
      <c r="J304" t="str">
        <f>VLOOKUP(A304,[3]Sheet1!$A:$C,2,FALSE)</f>
        <v>OBS1</v>
      </c>
      <c r="K304" t="str">
        <f>VLOOKUP(A304,[3]Sheet1!$A:$C,3,FALSE)</f>
        <v>T2</v>
      </c>
    </row>
    <row r="305" spans="1:11" x14ac:dyDescent="0.25">
      <c r="A305" s="2" t="s">
        <v>308</v>
      </c>
      <c r="B305">
        <v>-1</v>
      </c>
      <c r="C305" t="s">
        <v>4</v>
      </c>
      <c r="D305" t="str">
        <f>VLOOKUP(A305,[1]Sheet1!$A:$D,2,FALSE)</f>
        <v>Philips Medical Systems</v>
      </c>
      <c r="E305" t="str">
        <f>VLOOKUP(A305,[1]Sheet1!$A:$D,3,FALSE)</f>
        <v>Ingenia</v>
      </c>
      <c r="F305">
        <f>VLOOKUP(A305,[1]Sheet1!$A:$D,4,FALSE)</f>
        <v>1.5</v>
      </c>
      <c r="G305">
        <f>VLOOKUP(A305,[2]Sheet1!$A:$D,2,FALSE)</f>
        <v>0</v>
      </c>
      <c r="H305">
        <f>VLOOKUP(A305,[2]Sheet1!$A:$D,3,FALSE)</f>
        <v>0</v>
      </c>
      <c r="I305">
        <f>VLOOKUP(A305,[2]Sheet1!$A:$D,4,FALSE)</f>
        <v>-1</v>
      </c>
      <c r="J305" t="str">
        <f>VLOOKUP(A305,[3]Sheet1!$A:$C,2,FALSE)</f>
        <v>AUTO</v>
      </c>
      <c r="K305" t="str">
        <f>VLOOKUP(A305,[3]Sheet1!$A:$C,3,FALSE)</f>
        <v>ALL</v>
      </c>
    </row>
    <row r="306" spans="1:11" x14ac:dyDescent="0.25">
      <c r="A306" s="2" t="s">
        <v>309</v>
      </c>
      <c r="B306">
        <v>62</v>
      </c>
      <c r="C306" t="s">
        <v>4</v>
      </c>
      <c r="D306" t="str">
        <f>VLOOKUP(A306,[1]Sheet1!$A:$D,2,FALSE)</f>
        <v>Philips Medical Systems</v>
      </c>
      <c r="E306" t="str">
        <f>VLOOKUP(A306,[1]Sheet1!$A:$D,3,FALSE)</f>
        <v>Achieva</v>
      </c>
      <c r="F306">
        <f>VLOOKUP(A306,[1]Sheet1!$A:$D,4,FALSE)</f>
        <v>1.5</v>
      </c>
      <c r="G306">
        <f>VLOOKUP(A306,[2]Sheet1!$A:$D,2,FALSE)</f>
        <v>0</v>
      </c>
      <c r="H306">
        <f>VLOOKUP(A306,[2]Sheet1!$A:$D,3,FALSE)</f>
        <v>-1</v>
      </c>
      <c r="I306">
        <f>VLOOKUP(A306,[2]Sheet1!$A:$D,4,FALSE)</f>
        <v>4</v>
      </c>
      <c r="J306" t="str">
        <f>VLOOKUP(A306,[3]Sheet1!$A:$C,2,FALSE)</f>
        <v>OBS1</v>
      </c>
      <c r="K306" t="str">
        <f>VLOOKUP(A306,[3]Sheet1!$A:$C,3,FALSE)</f>
        <v>T2</v>
      </c>
    </row>
    <row r="307" spans="1:11" x14ac:dyDescent="0.25">
      <c r="A307" s="2" t="s">
        <v>310</v>
      </c>
      <c r="B307">
        <v>45</v>
      </c>
      <c r="C307" t="s">
        <v>4</v>
      </c>
      <c r="D307" t="str">
        <f>VLOOKUP(A307,[1]Sheet1!$A:$D,2,FALSE)</f>
        <v>Philips Medical Systems</v>
      </c>
      <c r="E307" t="str">
        <f>VLOOKUP(A307,[1]Sheet1!$A:$D,3,FALSE)</f>
        <v>Intera</v>
      </c>
      <c r="F307">
        <f>VLOOKUP(A307,[1]Sheet1!$A:$D,4,FALSE)</f>
        <v>1.5</v>
      </c>
      <c r="G307">
        <f>VLOOKUP(A307,[2]Sheet1!$A:$D,2,FALSE)</f>
        <v>1</v>
      </c>
      <c r="H307">
        <f>VLOOKUP(A307,[2]Sheet1!$A:$D,3,FALSE)</f>
        <v>0</v>
      </c>
      <c r="I307">
        <f>VLOOKUP(A307,[2]Sheet1!$A:$D,4,FALSE)</f>
        <v>2</v>
      </c>
      <c r="J307" t="str">
        <f>VLOOKUP(A307,[3]Sheet1!$A:$C,2,FALSE)</f>
        <v>AUTO</v>
      </c>
      <c r="K307" t="str">
        <f>VLOOKUP(A307,[3]Sheet1!$A:$C,3,FALSE)</f>
        <v>ALL</v>
      </c>
    </row>
    <row r="308" spans="1:11" x14ac:dyDescent="0.25">
      <c r="A308" s="2" t="s">
        <v>311</v>
      </c>
      <c r="B308">
        <v>67</v>
      </c>
      <c r="C308" t="s">
        <v>4</v>
      </c>
      <c r="D308" t="str">
        <f>VLOOKUP(A308,[1]Sheet1!$A:$D,2,FALSE)</f>
        <v>Philips Medical Systems</v>
      </c>
      <c r="E308" t="str">
        <f>VLOOKUP(A308,[1]Sheet1!$A:$D,3,FALSE)</f>
        <v>Intera</v>
      </c>
      <c r="F308">
        <f>VLOOKUP(A308,[1]Sheet1!$A:$D,4,FALSE)</f>
        <v>1.5</v>
      </c>
      <c r="G308">
        <f>VLOOKUP(A308,[2]Sheet1!$A:$D,2,FALSE)</f>
        <v>-1</v>
      </c>
      <c r="H308">
        <f>VLOOKUP(A308,[2]Sheet1!$A:$D,3,FALSE)</f>
        <v>-1</v>
      </c>
      <c r="I308">
        <f>VLOOKUP(A308,[2]Sheet1!$A:$D,4,FALSE)</f>
        <v>4</v>
      </c>
      <c r="J308" t="str">
        <f>VLOOKUP(A308,[3]Sheet1!$A:$C,2,FALSE)</f>
        <v>AUTO</v>
      </c>
      <c r="K308" t="str">
        <f>VLOOKUP(A308,[3]Sheet1!$A:$C,3,FALSE)</f>
        <v>ALL</v>
      </c>
    </row>
    <row r="309" spans="1:11" x14ac:dyDescent="0.25">
      <c r="A309" s="2" t="s">
        <v>312</v>
      </c>
      <c r="B309">
        <v>-1</v>
      </c>
      <c r="C309">
        <v>-1</v>
      </c>
      <c r="D309" t="str">
        <f>VLOOKUP(A309,[1]Sheet1!$A:$D,2,FALSE)</f>
        <v>Philips Medical Systems</v>
      </c>
      <c r="E309" t="str">
        <f>VLOOKUP(A309,[1]Sheet1!$A:$D,3,FALSE)</f>
        <v>Gyroscan NT</v>
      </c>
      <c r="F309">
        <f>VLOOKUP(A309,[1]Sheet1!$A:$D,4,FALSE)</f>
        <v>1</v>
      </c>
      <c r="G309">
        <f>VLOOKUP(A309,[2]Sheet1!$A:$D,2,FALSE)</f>
        <v>1</v>
      </c>
      <c r="H309">
        <f>VLOOKUP(A309,[2]Sheet1!$A:$D,3,FALSE)</f>
        <v>0</v>
      </c>
      <c r="I309">
        <f>VLOOKUP(A309,[2]Sheet1!$A:$D,4,FALSE)</f>
        <v>-1</v>
      </c>
      <c r="J309" t="str">
        <f>VLOOKUP(A309,[3]Sheet1!$A:$C,2,FALSE)</f>
        <v>OBS2</v>
      </c>
      <c r="K309" t="str">
        <f>VLOOKUP(A309,[3]Sheet1!$A:$C,3,FALSE)</f>
        <v>FLAIR</v>
      </c>
    </row>
    <row r="310" spans="1:11" x14ac:dyDescent="0.25">
      <c r="A310" s="2" t="s">
        <v>313</v>
      </c>
      <c r="B310">
        <v>55</v>
      </c>
      <c r="C310" t="s">
        <v>4</v>
      </c>
      <c r="D310" t="str">
        <f>VLOOKUP(A310,[1]Sheet1!$A:$D,2,FALSE)</f>
        <v>GE MEDICAL SYSTEMS</v>
      </c>
      <c r="E310" t="str">
        <f>VLOOKUP(A310,[1]Sheet1!$A:$D,3,FALSE)</f>
        <v>Signa HDxt</v>
      </c>
      <c r="F310">
        <f>VLOOKUP(A310,[1]Sheet1!$A:$D,4,FALSE)</f>
        <v>1.5</v>
      </c>
      <c r="G310">
        <f>VLOOKUP(A310,[2]Sheet1!$A:$D,2,FALSE)</f>
        <v>1</v>
      </c>
      <c r="H310">
        <f>VLOOKUP(A310,[2]Sheet1!$A:$D,3,FALSE)</f>
        <v>0</v>
      </c>
      <c r="I310">
        <f>VLOOKUP(A310,[2]Sheet1!$A:$D,4,FALSE)</f>
        <v>2</v>
      </c>
      <c r="J310" t="str">
        <f>VLOOKUP(A310,[3]Sheet1!$A:$C,2,FALSE)</f>
        <v>OBS1</v>
      </c>
      <c r="K310" t="str">
        <f>VLOOKUP(A310,[3]Sheet1!$A:$C,3,FALSE)</f>
        <v>FLAIR</v>
      </c>
    </row>
    <row r="311" spans="1:11" x14ac:dyDescent="0.25">
      <c r="A311" s="2" t="s">
        <v>314</v>
      </c>
      <c r="B311">
        <v>60</v>
      </c>
      <c r="C311" t="s">
        <v>7</v>
      </c>
      <c r="D311" t="str">
        <f>VLOOKUP(A311,[1]Sheet1!$A:$D,2,FALSE)</f>
        <v>Philips Medical Systems</v>
      </c>
      <c r="E311" t="str">
        <f>VLOOKUP(A311,[1]Sheet1!$A:$D,3,FALSE)</f>
        <v>Intera</v>
      </c>
      <c r="F311">
        <f>VLOOKUP(A311,[1]Sheet1!$A:$D,4,FALSE)</f>
        <v>1</v>
      </c>
      <c r="G311">
        <f>VLOOKUP(A311,[2]Sheet1!$A:$D,2,FALSE)</f>
        <v>-1</v>
      </c>
      <c r="H311">
        <f>VLOOKUP(A311,[2]Sheet1!$A:$D,3,FALSE)</f>
        <v>-1</v>
      </c>
      <c r="I311">
        <f>VLOOKUP(A311,[2]Sheet1!$A:$D,4,FALSE)</f>
        <v>4</v>
      </c>
      <c r="J311" t="str">
        <f>VLOOKUP(A311,[3]Sheet1!$A:$C,2,FALSE)</f>
        <v>AUTO</v>
      </c>
      <c r="K311" t="str">
        <f>VLOOKUP(A311,[3]Sheet1!$A:$C,3,FALSE)</f>
        <v>ALL</v>
      </c>
    </row>
    <row r="312" spans="1:11" x14ac:dyDescent="0.25">
      <c r="A312" s="2" t="s">
        <v>315</v>
      </c>
      <c r="B312">
        <v>75</v>
      </c>
      <c r="C312" t="s">
        <v>4</v>
      </c>
      <c r="D312" t="str">
        <f>VLOOKUP(A312,[1]Sheet1!$A:$D,2,FALSE)</f>
        <v>SIEMENS</v>
      </c>
      <c r="E312" t="str">
        <f>VLOOKUP(A312,[1]Sheet1!$A:$D,3,FALSE)</f>
        <v>Aera</v>
      </c>
      <c r="F312">
        <f>VLOOKUP(A312,[1]Sheet1!$A:$D,4,FALSE)</f>
        <v>1.5</v>
      </c>
      <c r="G312">
        <f>VLOOKUP(A312,[2]Sheet1!$A:$D,2,FALSE)</f>
        <v>0</v>
      </c>
      <c r="H312">
        <f>VLOOKUP(A312,[2]Sheet1!$A:$D,3,FALSE)</f>
        <v>-1</v>
      </c>
      <c r="I312">
        <f>VLOOKUP(A312,[2]Sheet1!$A:$D,4,FALSE)</f>
        <v>4</v>
      </c>
      <c r="J312" t="str">
        <f>VLOOKUP(A312,[3]Sheet1!$A:$C,2,FALSE)</f>
        <v>OBS1</v>
      </c>
      <c r="K312" t="str">
        <f>VLOOKUP(A312,[3]Sheet1!$A:$C,3,FALSE)</f>
        <v>T2</v>
      </c>
    </row>
    <row r="313" spans="1:11" x14ac:dyDescent="0.25">
      <c r="A313" s="2" t="s">
        <v>316</v>
      </c>
      <c r="B313">
        <v>60</v>
      </c>
      <c r="C313" t="s">
        <v>7</v>
      </c>
      <c r="D313" t="str">
        <f>VLOOKUP(A313,[1]Sheet1!$A:$D,2,FALSE)</f>
        <v>SIEMENS</v>
      </c>
      <c r="E313" t="str">
        <f>VLOOKUP(A313,[1]Sheet1!$A:$D,3,FALSE)</f>
        <v>Avanto</v>
      </c>
      <c r="F313">
        <f>VLOOKUP(A313,[1]Sheet1!$A:$D,4,FALSE)</f>
        <v>1.5</v>
      </c>
      <c r="G313">
        <f>VLOOKUP(A313,[2]Sheet1!$A:$D,2,FALSE)</f>
        <v>1</v>
      </c>
      <c r="H313">
        <f>VLOOKUP(A313,[2]Sheet1!$A:$D,3,FALSE)</f>
        <v>1</v>
      </c>
      <c r="I313">
        <f>VLOOKUP(A313,[2]Sheet1!$A:$D,4,FALSE)</f>
        <v>2</v>
      </c>
      <c r="J313" t="str">
        <f>VLOOKUP(A313,[3]Sheet1!$A:$C,2,FALSE)</f>
        <v>AUTO</v>
      </c>
      <c r="K313" t="str">
        <f>VLOOKUP(A313,[3]Sheet1!$A:$C,3,FALSE)</f>
        <v>ALL</v>
      </c>
    </row>
    <row r="314" spans="1:11" x14ac:dyDescent="0.25">
      <c r="A314" s="2" t="s">
        <v>317</v>
      </c>
      <c r="B314">
        <v>54</v>
      </c>
      <c r="C314" t="s">
        <v>4</v>
      </c>
      <c r="D314" t="str">
        <f>VLOOKUP(A314,[1]Sheet1!$A:$D,2,FALSE)</f>
        <v>SIEMENS</v>
      </c>
      <c r="E314" t="str">
        <f>VLOOKUP(A314,[1]Sheet1!$A:$D,3,FALSE)</f>
        <v>Harmony</v>
      </c>
      <c r="F314">
        <f>VLOOKUP(A314,[1]Sheet1!$A:$D,4,FALSE)</f>
        <v>1</v>
      </c>
      <c r="G314">
        <f>VLOOKUP(A314,[2]Sheet1!$A:$D,2,FALSE)</f>
        <v>0</v>
      </c>
      <c r="H314">
        <f>VLOOKUP(A314,[2]Sheet1!$A:$D,3,FALSE)</f>
        <v>-1</v>
      </c>
      <c r="I314">
        <f>VLOOKUP(A314,[2]Sheet1!$A:$D,4,FALSE)</f>
        <v>4</v>
      </c>
      <c r="J314" t="str">
        <f>VLOOKUP(A314,[3]Sheet1!$A:$C,2,FALSE)</f>
        <v>OBS1</v>
      </c>
      <c r="K314" t="str">
        <f>VLOOKUP(A314,[3]Sheet1!$A:$C,3,FALSE)</f>
        <v>FLAIR</v>
      </c>
    </row>
    <row r="315" spans="1:11" x14ac:dyDescent="0.25">
      <c r="A315" s="2" t="s">
        <v>318</v>
      </c>
      <c r="B315">
        <v>70</v>
      </c>
      <c r="C315" t="s">
        <v>7</v>
      </c>
      <c r="D315" t="str">
        <f>VLOOKUP(A315,[1]Sheet1!$A:$D,2,FALSE)</f>
        <v>GE MEDICAL SYSTEMS</v>
      </c>
      <c r="E315" t="str">
        <f>VLOOKUP(A315,[1]Sheet1!$A:$D,3,FALSE)</f>
        <v>DISCOVERY MR750</v>
      </c>
      <c r="F315">
        <f>VLOOKUP(A315,[1]Sheet1!$A:$D,4,FALSE)</f>
        <v>3</v>
      </c>
      <c r="G315">
        <f>VLOOKUP(A315,[2]Sheet1!$A:$D,2,FALSE)</f>
        <v>0</v>
      </c>
      <c r="H315">
        <f>VLOOKUP(A315,[2]Sheet1!$A:$D,3,FALSE)</f>
        <v>-1</v>
      </c>
      <c r="I315">
        <f>VLOOKUP(A315,[2]Sheet1!$A:$D,4,FALSE)</f>
        <v>4</v>
      </c>
      <c r="J315" t="str">
        <f>VLOOKUP(A315,[3]Sheet1!$A:$C,2,FALSE)</f>
        <v>OBS1</v>
      </c>
      <c r="K315" t="str">
        <f>VLOOKUP(A315,[3]Sheet1!$A:$C,3,FALSE)</f>
        <v>T2</v>
      </c>
    </row>
    <row r="316" spans="1:11" x14ac:dyDescent="0.25">
      <c r="A316" s="2" t="s">
        <v>319</v>
      </c>
      <c r="B316">
        <v>69</v>
      </c>
      <c r="C316" t="s">
        <v>4</v>
      </c>
      <c r="D316" t="str">
        <f>VLOOKUP(A316,[1]Sheet1!$A:$D,2,FALSE)</f>
        <v>Philips Medical Systems</v>
      </c>
      <c r="E316" t="str">
        <f>VLOOKUP(A316,[1]Sheet1!$A:$D,3,FALSE)</f>
        <v>Intera</v>
      </c>
      <c r="F316">
        <f>VLOOKUP(A316,[1]Sheet1!$A:$D,4,FALSE)</f>
        <v>1.5</v>
      </c>
      <c r="G316">
        <f>VLOOKUP(A316,[2]Sheet1!$A:$D,2,FALSE)</f>
        <v>0</v>
      </c>
      <c r="H316">
        <f>VLOOKUP(A316,[2]Sheet1!$A:$D,3,FALSE)</f>
        <v>-1</v>
      </c>
      <c r="I316">
        <f>VLOOKUP(A316,[2]Sheet1!$A:$D,4,FALSE)</f>
        <v>4</v>
      </c>
      <c r="J316" t="str">
        <f>VLOOKUP(A316,[3]Sheet1!$A:$C,2,FALSE)</f>
        <v>AUTO</v>
      </c>
      <c r="K316" t="str">
        <f>VLOOKUP(A316,[3]Sheet1!$A:$C,3,FALSE)</f>
        <v>ALL</v>
      </c>
    </row>
    <row r="317" spans="1:11" x14ac:dyDescent="0.25">
      <c r="A317" s="2" t="s">
        <v>320</v>
      </c>
      <c r="B317">
        <v>75</v>
      </c>
      <c r="C317" t="s">
        <v>7</v>
      </c>
      <c r="D317" t="str">
        <f>VLOOKUP(A317,[1]Sheet1!$A:$D,2,FALSE)</f>
        <v>SIEMENS</v>
      </c>
      <c r="E317" t="str">
        <f>VLOOKUP(A317,[1]Sheet1!$A:$D,3,FALSE)</f>
        <v>Symphony</v>
      </c>
      <c r="F317">
        <f>VLOOKUP(A317,[1]Sheet1!$A:$D,4,FALSE)</f>
        <v>1.5</v>
      </c>
      <c r="G317">
        <f>VLOOKUP(A317,[2]Sheet1!$A:$D,2,FALSE)</f>
        <v>-1</v>
      </c>
      <c r="H317">
        <f>VLOOKUP(A317,[2]Sheet1!$A:$D,3,FALSE)</f>
        <v>-1</v>
      </c>
      <c r="I317">
        <f>VLOOKUP(A317,[2]Sheet1!$A:$D,4,FALSE)</f>
        <v>4</v>
      </c>
      <c r="J317" t="str">
        <f>VLOOKUP(A317,[3]Sheet1!$A:$C,2,FALSE)</f>
        <v>OBS1</v>
      </c>
      <c r="K317" t="str">
        <f>VLOOKUP(A317,[3]Sheet1!$A:$C,3,FALSE)</f>
        <v>T2</v>
      </c>
    </row>
    <row r="318" spans="1:11" x14ac:dyDescent="0.25">
      <c r="A318" s="2" t="s">
        <v>321</v>
      </c>
      <c r="B318">
        <v>-1</v>
      </c>
      <c r="C318" t="s">
        <v>7</v>
      </c>
      <c r="D318" t="str">
        <f>VLOOKUP(A318,[1]Sheet1!$A:$D,2,FALSE)</f>
        <v>SIEMENS</v>
      </c>
      <c r="E318" t="str">
        <f>VLOOKUP(A318,[1]Sheet1!$A:$D,3,FALSE)</f>
        <v>Aera</v>
      </c>
      <c r="F318">
        <f>VLOOKUP(A318,[1]Sheet1!$A:$D,4,FALSE)</f>
        <v>1.5</v>
      </c>
      <c r="G318">
        <f>VLOOKUP(A318,[2]Sheet1!$A:$D,2,FALSE)</f>
        <v>0</v>
      </c>
      <c r="H318">
        <f>VLOOKUP(A318,[2]Sheet1!$A:$D,3,FALSE)</f>
        <v>-1</v>
      </c>
      <c r="I318">
        <f>VLOOKUP(A318,[2]Sheet1!$A:$D,4,FALSE)</f>
        <v>-1</v>
      </c>
      <c r="J318" t="str">
        <f>VLOOKUP(A318,[3]Sheet1!$A:$C,2,FALSE)</f>
        <v>AUTO</v>
      </c>
      <c r="K318" t="str">
        <f>VLOOKUP(A318,[3]Sheet1!$A:$C,3,FALSE)</f>
        <v>ALL</v>
      </c>
    </row>
    <row r="319" spans="1:11" x14ac:dyDescent="0.25">
      <c r="A319" s="2" t="s">
        <v>322</v>
      </c>
      <c r="B319">
        <v>49</v>
      </c>
      <c r="C319" t="s">
        <v>4</v>
      </c>
      <c r="D319" t="str">
        <f>VLOOKUP(A319,[1]Sheet1!$A:$D,2,FALSE)</f>
        <v>GE MEDICAL SYSTEMS</v>
      </c>
      <c r="E319" t="str">
        <f>VLOOKUP(A319,[1]Sheet1!$A:$D,3,FALSE)</f>
        <v>DISCOVERY MR750</v>
      </c>
      <c r="F319">
        <f>VLOOKUP(A319,[1]Sheet1!$A:$D,4,FALSE)</f>
        <v>3</v>
      </c>
      <c r="G319">
        <f>VLOOKUP(A319,[2]Sheet1!$A:$D,2,FALSE)</f>
        <v>0</v>
      </c>
      <c r="H319">
        <f>VLOOKUP(A319,[2]Sheet1!$A:$D,3,FALSE)</f>
        <v>-1</v>
      </c>
      <c r="I319">
        <f>VLOOKUP(A319,[2]Sheet1!$A:$D,4,FALSE)</f>
        <v>4</v>
      </c>
      <c r="J319" t="str">
        <f>VLOOKUP(A319,[3]Sheet1!$A:$C,2,FALSE)</f>
        <v>OBS1</v>
      </c>
      <c r="K319" t="str">
        <f>VLOOKUP(A319,[3]Sheet1!$A:$C,3,FALSE)</f>
        <v>T2</v>
      </c>
    </row>
    <row r="320" spans="1:11" x14ac:dyDescent="0.25">
      <c r="A320" s="2" t="s">
        <v>323</v>
      </c>
      <c r="B320">
        <v>72</v>
      </c>
      <c r="C320" t="s">
        <v>7</v>
      </c>
      <c r="D320" t="str">
        <f>VLOOKUP(A320,[1]Sheet1!$A:$D,2,FALSE)</f>
        <v>SIEMENS</v>
      </c>
      <c r="E320" t="str">
        <f>VLOOKUP(A320,[1]Sheet1!$A:$D,3,FALSE)</f>
        <v>MAGNETOM_ESSENZA</v>
      </c>
      <c r="F320">
        <f>VLOOKUP(A320,[1]Sheet1!$A:$D,4,FALSE)</f>
        <v>1.5</v>
      </c>
      <c r="G320">
        <f>VLOOKUP(A320,[2]Sheet1!$A:$D,2,FALSE)</f>
        <v>0</v>
      </c>
      <c r="H320">
        <f>VLOOKUP(A320,[2]Sheet1!$A:$D,3,FALSE)</f>
        <v>0</v>
      </c>
      <c r="I320">
        <f>VLOOKUP(A320,[2]Sheet1!$A:$D,4,FALSE)</f>
        <v>4</v>
      </c>
      <c r="J320" t="str">
        <f>VLOOKUP(A320,[3]Sheet1!$A:$C,2,FALSE)</f>
        <v>OBS1</v>
      </c>
      <c r="K320" t="str">
        <f>VLOOKUP(A320,[3]Sheet1!$A:$C,3,FALSE)</f>
        <v>T2</v>
      </c>
    </row>
    <row r="321" spans="1:11" x14ac:dyDescent="0.25">
      <c r="A321" s="2" t="s">
        <v>324</v>
      </c>
      <c r="B321">
        <v>74</v>
      </c>
      <c r="C321" t="s">
        <v>7</v>
      </c>
      <c r="D321" t="str">
        <f>VLOOKUP(A321,[1]Sheet1!$A:$D,2,FALSE)</f>
        <v>Philips Medical Systems</v>
      </c>
      <c r="E321" t="str">
        <f>VLOOKUP(A321,[1]Sheet1!$A:$D,3,FALSE)</f>
        <v>Achieva</v>
      </c>
      <c r="F321">
        <f>VLOOKUP(A321,[1]Sheet1!$A:$D,4,FALSE)</f>
        <v>1.5</v>
      </c>
      <c r="G321">
        <f>VLOOKUP(A321,[2]Sheet1!$A:$D,2,FALSE)</f>
        <v>-1</v>
      </c>
      <c r="H321">
        <f>VLOOKUP(A321,[2]Sheet1!$A:$D,3,FALSE)</f>
        <v>-1</v>
      </c>
      <c r="I321">
        <f>VLOOKUP(A321,[2]Sheet1!$A:$D,4,FALSE)</f>
        <v>4</v>
      </c>
      <c r="J321" t="str">
        <f>VLOOKUP(A321,[3]Sheet1!$A:$C,2,FALSE)</f>
        <v>OBS1</v>
      </c>
      <c r="K321" t="str">
        <f>VLOOKUP(A321,[3]Sheet1!$A:$C,3,FALSE)</f>
        <v>T2</v>
      </c>
    </row>
    <row r="322" spans="1:11" x14ac:dyDescent="0.25">
      <c r="A322" s="2" t="s">
        <v>325</v>
      </c>
      <c r="B322">
        <v>72</v>
      </c>
      <c r="C322" t="s">
        <v>7</v>
      </c>
      <c r="D322" t="str">
        <f>VLOOKUP(A322,[1]Sheet1!$A:$D,2,FALSE)</f>
        <v>GE MEDICAL SYSTEMS</v>
      </c>
      <c r="E322" t="str">
        <f>VLOOKUP(A322,[1]Sheet1!$A:$D,3,FALSE)</f>
        <v>DISCOVERY MR450</v>
      </c>
      <c r="F322">
        <f>VLOOKUP(A322,[1]Sheet1!$A:$D,4,FALSE)</f>
        <v>1.5</v>
      </c>
      <c r="G322">
        <f>VLOOKUP(A322,[2]Sheet1!$A:$D,2,FALSE)</f>
        <v>0</v>
      </c>
      <c r="H322">
        <f>VLOOKUP(A322,[2]Sheet1!$A:$D,3,FALSE)</f>
        <v>0</v>
      </c>
      <c r="I322">
        <f>VLOOKUP(A322,[2]Sheet1!$A:$D,4,FALSE)</f>
        <v>4</v>
      </c>
      <c r="J322" t="str">
        <f>VLOOKUP(A322,[3]Sheet1!$A:$C,2,FALSE)</f>
        <v>OBS1</v>
      </c>
      <c r="K322" t="str">
        <f>VLOOKUP(A322,[3]Sheet1!$A:$C,3,FALSE)</f>
        <v>T2</v>
      </c>
    </row>
    <row r="323" spans="1:11" x14ac:dyDescent="0.25">
      <c r="A323" s="2" t="s">
        <v>326</v>
      </c>
      <c r="B323">
        <v>45</v>
      </c>
      <c r="C323" t="s">
        <v>4</v>
      </c>
      <c r="D323" t="str">
        <f>VLOOKUP(A323,[1]Sheet1!$A:$D,2,FALSE)</f>
        <v>GE MEDICAL SYSTEMS</v>
      </c>
      <c r="E323" t="str">
        <f>VLOOKUP(A323,[1]Sheet1!$A:$D,3,FALSE)</f>
        <v>GENESIS_SIGNA</v>
      </c>
      <c r="F323">
        <f>VLOOKUP(A323,[1]Sheet1!$A:$D,4,FALSE)</f>
        <v>1</v>
      </c>
      <c r="G323">
        <f>VLOOKUP(A323,[2]Sheet1!$A:$D,2,FALSE)</f>
        <v>-1</v>
      </c>
      <c r="H323">
        <f>VLOOKUP(A323,[2]Sheet1!$A:$D,3,FALSE)</f>
        <v>0</v>
      </c>
      <c r="I323">
        <f>VLOOKUP(A323,[2]Sheet1!$A:$D,4,FALSE)</f>
        <v>3</v>
      </c>
      <c r="J323" t="str">
        <f>VLOOKUP(A323,[3]Sheet1!$A:$C,2,FALSE)</f>
        <v>OBS1</v>
      </c>
      <c r="K323" t="str">
        <f>VLOOKUP(A323,[3]Sheet1!$A:$C,3,FALSE)</f>
        <v>FLAIR</v>
      </c>
    </row>
    <row r="324" spans="1:11" x14ac:dyDescent="0.25">
      <c r="A324" s="2" t="s">
        <v>327</v>
      </c>
      <c r="B324">
        <v>-1</v>
      </c>
      <c r="C324" t="s">
        <v>4</v>
      </c>
      <c r="D324" t="str">
        <f>VLOOKUP(A324,[1]Sheet1!$A:$D,2,FALSE)</f>
        <v>SIEMENS</v>
      </c>
      <c r="E324" t="str">
        <f>VLOOKUP(A324,[1]Sheet1!$A:$D,3,FALSE)</f>
        <v>Aera</v>
      </c>
      <c r="F324">
        <f>VLOOKUP(A324,[1]Sheet1!$A:$D,4,FALSE)</f>
        <v>1.5</v>
      </c>
      <c r="G324">
        <f>VLOOKUP(A324,[2]Sheet1!$A:$D,2,FALSE)</f>
        <v>0</v>
      </c>
      <c r="H324">
        <f>VLOOKUP(A324,[2]Sheet1!$A:$D,3,FALSE)</f>
        <v>-1</v>
      </c>
      <c r="I324">
        <f>VLOOKUP(A324,[2]Sheet1!$A:$D,4,FALSE)</f>
        <v>-1</v>
      </c>
      <c r="J324" t="str">
        <f>VLOOKUP(A324,[3]Sheet1!$A:$C,2,FALSE)</f>
        <v>OBS1</v>
      </c>
      <c r="K324" t="str">
        <f>VLOOKUP(A324,[3]Sheet1!$A:$C,3,FALSE)</f>
        <v>T2</v>
      </c>
    </row>
    <row r="325" spans="1:11" x14ac:dyDescent="0.25">
      <c r="A325" s="2" t="s">
        <v>328</v>
      </c>
      <c r="B325">
        <v>70</v>
      </c>
      <c r="C325" t="s">
        <v>7</v>
      </c>
      <c r="D325" t="str">
        <f>VLOOKUP(A325,[1]Sheet1!$A:$D,2,FALSE)</f>
        <v>SIEMENS</v>
      </c>
      <c r="E325" t="str">
        <f>VLOOKUP(A325,[1]Sheet1!$A:$D,3,FALSE)</f>
        <v>Aera</v>
      </c>
      <c r="F325">
        <f>VLOOKUP(A325,[1]Sheet1!$A:$D,4,FALSE)</f>
        <v>1.5</v>
      </c>
      <c r="G325">
        <f>VLOOKUP(A325,[2]Sheet1!$A:$D,2,FALSE)</f>
        <v>0</v>
      </c>
      <c r="H325">
        <f>VLOOKUP(A325,[2]Sheet1!$A:$D,3,FALSE)</f>
        <v>-1</v>
      </c>
      <c r="I325">
        <f>VLOOKUP(A325,[2]Sheet1!$A:$D,4,FALSE)</f>
        <v>4</v>
      </c>
      <c r="J325" t="str">
        <f>VLOOKUP(A325,[3]Sheet1!$A:$C,2,FALSE)</f>
        <v>AUTO</v>
      </c>
      <c r="K325" t="str">
        <f>VLOOKUP(A325,[3]Sheet1!$A:$C,3,FALSE)</f>
        <v>ALL</v>
      </c>
    </row>
    <row r="326" spans="1:11" x14ac:dyDescent="0.25">
      <c r="A326" s="2" t="s">
        <v>329</v>
      </c>
      <c r="B326">
        <v>70</v>
      </c>
      <c r="C326" t="s">
        <v>7</v>
      </c>
      <c r="D326" t="str">
        <f>VLOOKUP(A326,[1]Sheet1!$A:$D,2,FALSE)</f>
        <v>SIEMENS</v>
      </c>
      <c r="E326" t="str">
        <f>VLOOKUP(A326,[1]Sheet1!$A:$D,3,FALSE)</f>
        <v>Symphony</v>
      </c>
      <c r="F326">
        <f>VLOOKUP(A326,[1]Sheet1!$A:$D,4,FALSE)</f>
        <v>1.5</v>
      </c>
      <c r="G326">
        <f>VLOOKUP(A326,[2]Sheet1!$A:$D,2,FALSE)</f>
        <v>0</v>
      </c>
      <c r="H326">
        <f>VLOOKUP(A326,[2]Sheet1!$A:$D,3,FALSE)</f>
        <v>-1</v>
      </c>
      <c r="I326">
        <f>VLOOKUP(A326,[2]Sheet1!$A:$D,4,FALSE)</f>
        <v>4</v>
      </c>
      <c r="J326" t="str">
        <f>VLOOKUP(A326,[3]Sheet1!$A:$C,2,FALSE)</f>
        <v>OBS1</v>
      </c>
      <c r="K326" t="str">
        <f>VLOOKUP(A326,[3]Sheet1!$A:$C,3,FALSE)</f>
        <v>T2</v>
      </c>
    </row>
    <row r="327" spans="1:11" x14ac:dyDescent="0.25">
      <c r="A327" s="2" t="s">
        <v>330</v>
      </c>
      <c r="B327">
        <v>50</v>
      </c>
      <c r="C327" t="s">
        <v>7</v>
      </c>
      <c r="D327" t="str">
        <f>VLOOKUP(A327,[1]Sheet1!$A:$D,2,FALSE)</f>
        <v>GE MEDICAL SYSTEMS</v>
      </c>
      <c r="E327" t="str">
        <f>VLOOKUP(A327,[1]Sheet1!$A:$D,3,FALSE)</f>
        <v>Optima MR450w</v>
      </c>
      <c r="F327">
        <f>VLOOKUP(A327,[1]Sheet1!$A:$D,4,FALSE)</f>
        <v>1.5</v>
      </c>
      <c r="G327">
        <f>VLOOKUP(A327,[2]Sheet1!$A:$D,2,FALSE)</f>
        <v>-1</v>
      </c>
      <c r="H327">
        <f>VLOOKUP(A327,[2]Sheet1!$A:$D,3,FALSE)</f>
        <v>-1</v>
      </c>
      <c r="I327">
        <f>VLOOKUP(A327,[2]Sheet1!$A:$D,4,FALSE)</f>
        <v>4</v>
      </c>
      <c r="J327" t="str">
        <f>VLOOKUP(A327,[3]Sheet1!$A:$C,2,FALSE)</f>
        <v>AUTO</v>
      </c>
      <c r="K327" t="str">
        <f>VLOOKUP(A327,[3]Sheet1!$A:$C,3,FALSE)</f>
        <v>ALL</v>
      </c>
    </row>
    <row r="328" spans="1:11" x14ac:dyDescent="0.25">
      <c r="A328" s="2" t="s">
        <v>331</v>
      </c>
      <c r="B328">
        <v>66</v>
      </c>
      <c r="C328" t="s">
        <v>7</v>
      </c>
      <c r="D328" t="str">
        <f>VLOOKUP(A328,[1]Sheet1!$A:$D,2,FALSE)</f>
        <v>Philips Medical Systems</v>
      </c>
      <c r="E328" t="str">
        <f>VLOOKUP(A328,[1]Sheet1!$A:$D,3,FALSE)</f>
        <v>Achieva</v>
      </c>
      <c r="F328">
        <f>VLOOKUP(A328,[1]Sheet1!$A:$D,4,FALSE)</f>
        <v>1.5</v>
      </c>
      <c r="G328">
        <f>VLOOKUP(A328,[2]Sheet1!$A:$D,2,FALSE)</f>
        <v>-1</v>
      </c>
      <c r="H328">
        <f>VLOOKUP(A328,[2]Sheet1!$A:$D,3,FALSE)</f>
        <v>-1</v>
      </c>
      <c r="I328">
        <f>VLOOKUP(A328,[2]Sheet1!$A:$D,4,FALSE)</f>
        <v>4</v>
      </c>
      <c r="J328" t="str">
        <f>VLOOKUP(A328,[3]Sheet1!$A:$C,2,FALSE)</f>
        <v>AUTO</v>
      </c>
      <c r="K328" t="str">
        <f>VLOOKUP(A328,[3]Sheet1!$A:$C,3,FALSE)</f>
        <v>ALL</v>
      </c>
    </row>
    <row r="329" spans="1:11" x14ac:dyDescent="0.25">
      <c r="A329" s="2" t="s">
        <v>332</v>
      </c>
      <c r="B329">
        <v>73</v>
      </c>
      <c r="C329" t="s">
        <v>7</v>
      </c>
      <c r="D329" t="str">
        <f>VLOOKUP(A329,[1]Sheet1!$A:$D,2,FALSE)</f>
        <v>Philips Medical Systems</v>
      </c>
      <c r="E329" t="str">
        <f>VLOOKUP(A329,[1]Sheet1!$A:$D,3,FALSE)</f>
        <v>Intera</v>
      </c>
      <c r="F329">
        <f>VLOOKUP(A329,[1]Sheet1!$A:$D,4,FALSE)</f>
        <v>1.5</v>
      </c>
      <c r="G329">
        <f>VLOOKUP(A329,[2]Sheet1!$A:$D,2,FALSE)</f>
        <v>0</v>
      </c>
      <c r="H329">
        <f>VLOOKUP(A329,[2]Sheet1!$A:$D,3,FALSE)</f>
        <v>-1</v>
      </c>
      <c r="I329">
        <f>VLOOKUP(A329,[2]Sheet1!$A:$D,4,FALSE)</f>
        <v>4</v>
      </c>
      <c r="J329" t="str">
        <f>VLOOKUP(A329,[3]Sheet1!$A:$C,2,FALSE)</f>
        <v>OBS1</v>
      </c>
      <c r="K329" t="str">
        <f>VLOOKUP(A329,[3]Sheet1!$A:$C,3,FALSE)</f>
        <v>T2</v>
      </c>
    </row>
    <row r="330" spans="1:11" x14ac:dyDescent="0.25">
      <c r="A330" s="2" t="s">
        <v>333</v>
      </c>
      <c r="B330">
        <v>-1</v>
      </c>
      <c r="C330" t="s">
        <v>4</v>
      </c>
      <c r="D330" t="str">
        <f>VLOOKUP(A330,[1]Sheet1!$A:$D,2,FALSE)</f>
        <v>SIEMENS</v>
      </c>
      <c r="E330" t="str">
        <f>VLOOKUP(A330,[1]Sheet1!$A:$D,3,FALSE)</f>
        <v>MAGNETOM_ESSENZA</v>
      </c>
      <c r="F330">
        <f>VLOOKUP(A330,[1]Sheet1!$A:$D,4,FALSE)</f>
        <v>1.5</v>
      </c>
      <c r="G330">
        <f>VLOOKUP(A330,[2]Sheet1!$A:$D,2,FALSE)</f>
        <v>0</v>
      </c>
      <c r="H330">
        <f>VLOOKUP(A330,[2]Sheet1!$A:$D,3,FALSE)</f>
        <v>-1</v>
      </c>
      <c r="I330">
        <f>VLOOKUP(A330,[2]Sheet1!$A:$D,4,FALSE)</f>
        <v>-1</v>
      </c>
      <c r="J330" t="str">
        <f>VLOOKUP(A330,[3]Sheet1!$A:$C,2,FALSE)</f>
        <v>OBS1</v>
      </c>
      <c r="K330" t="str">
        <f>VLOOKUP(A330,[3]Sheet1!$A:$C,3,FALSE)</f>
        <v>T2</v>
      </c>
    </row>
    <row r="331" spans="1:11" x14ac:dyDescent="0.25">
      <c r="A331" s="2" t="s">
        <v>334</v>
      </c>
      <c r="B331">
        <v>43</v>
      </c>
      <c r="C331" t="s">
        <v>4</v>
      </c>
      <c r="D331" t="str">
        <f>VLOOKUP(A331,[1]Sheet1!$A:$D,2,FALSE)</f>
        <v>SIEMENS</v>
      </c>
      <c r="E331" t="str">
        <f>VLOOKUP(A331,[1]Sheet1!$A:$D,3,FALSE)</f>
        <v>Symphony</v>
      </c>
      <c r="F331">
        <f>VLOOKUP(A331,[1]Sheet1!$A:$D,4,FALSE)</f>
        <v>1.5</v>
      </c>
      <c r="G331">
        <f>VLOOKUP(A331,[2]Sheet1!$A:$D,2,FALSE)</f>
        <v>1</v>
      </c>
      <c r="H331">
        <f>VLOOKUP(A331,[2]Sheet1!$A:$D,3,FALSE)</f>
        <v>1</v>
      </c>
      <c r="I331">
        <f>VLOOKUP(A331,[2]Sheet1!$A:$D,4,FALSE)</f>
        <v>2</v>
      </c>
      <c r="J331" t="str">
        <f>VLOOKUP(A331,[3]Sheet1!$A:$C,2,FALSE)</f>
        <v>OBS2</v>
      </c>
      <c r="K331" t="str">
        <f>VLOOKUP(A331,[3]Sheet1!$A:$C,3,FALSE)</f>
        <v>FLAIR</v>
      </c>
    </row>
    <row r="332" spans="1:11" x14ac:dyDescent="0.25">
      <c r="A332" s="2" t="s">
        <v>335</v>
      </c>
      <c r="B332">
        <v>56</v>
      </c>
      <c r="C332" t="s">
        <v>4</v>
      </c>
      <c r="D332" t="str">
        <f>VLOOKUP(A332,[1]Sheet1!$A:$D,2,FALSE)</f>
        <v>Philips Medical Systems</v>
      </c>
      <c r="E332" t="str">
        <f>VLOOKUP(A332,[1]Sheet1!$A:$D,3,FALSE)</f>
        <v>Intera</v>
      </c>
      <c r="F332">
        <f>VLOOKUP(A332,[1]Sheet1!$A:$D,4,FALSE)</f>
        <v>1.5</v>
      </c>
      <c r="G332">
        <f>VLOOKUP(A332,[2]Sheet1!$A:$D,2,FALSE)</f>
        <v>0</v>
      </c>
      <c r="H332">
        <f>VLOOKUP(A332,[2]Sheet1!$A:$D,3,FALSE)</f>
        <v>-1</v>
      </c>
      <c r="I332">
        <f>VLOOKUP(A332,[2]Sheet1!$A:$D,4,FALSE)</f>
        <v>4</v>
      </c>
      <c r="J332" t="str">
        <f>VLOOKUP(A332,[3]Sheet1!$A:$C,2,FALSE)</f>
        <v>OBS1</v>
      </c>
      <c r="K332" t="str">
        <f>VLOOKUP(A332,[3]Sheet1!$A:$C,3,FALSE)</f>
        <v>T2</v>
      </c>
    </row>
    <row r="333" spans="1:11" x14ac:dyDescent="0.25">
      <c r="A333" s="2" t="s">
        <v>336</v>
      </c>
      <c r="B333">
        <v>61</v>
      </c>
      <c r="C333" t="s">
        <v>4</v>
      </c>
      <c r="D333" t="str">
        <f>VLOOKUP(A333,[1]Sheet1!$A:$D,2,FALSE)</f>
        <v>GE MEDICAL SYSTEMS</v>
      </c>
      <c r="E333" t="str">
        <f>VLOOKUP(A333,[1]Sheet1!$A:$D,3,FALSE)</f>
        <v>DISCOVERY MR450</v>
      </c>
      <c r="F333">
        <f>VLOOKUP(A333,[1]Sheet1!$A:$D,4,FALSE)</f>
        <v>1.5</v>
      </c>
      <c r="G333">
        <f>VLOOKUP(A333,[2]Sheet1!$A:$D,2,FALSE)</f>
        <v>1</v>
      </c>
      <c r="H333">
        <f>VLOOKUP(A333,[2]Sheet1!$A:$D,3,FALSE)</f>
        <v>1</v>
      </c>
      <c r="I333">
        <f>VLOOKUP(A333,[2]Sheet1!$A:$D,4,FALSE)</f>
        <v>2</v>
      </c>
      <c r="J333" t="str">
        <f>VLOOKUP(A333,[3]Sheet1!$A:$C,2,FALSE)</f>
        <v>OBS1</v>
      </c>
      <c r="K333" t="str">
        <f>VLOOKUP(A333,[3]Sheet1!$A:$C,3,FALSE)</f>
        <v>FLAIR</v>
      </c>
    </row>
    <row r="334" spans="1:11" x14ac:dyDescent="0.25">
      <c r="A334" s="2" t="s">
        <v>337</v>
      </c>
      <c r="B334">
        <v>70</v>
      </c>
      <c r="C334" t="s">
        <v>7</v>
      </c>
      <c r="D334" t="str">
        <f>VLOOKUP(A334,[1]Sheet1!$A:$D,2,FALSE)</f>
        <v>SIEMENS</v>
      </c>
      <c r="E334" t="str">
        <f>VLOOKUP(A334,[1]Sheet1!$A:$D,3,FALSE)</f>
        <v>Harmony</v>
      </c>
      <c r="F334">
        <f>VLOOKUP(A334,[1]Sheet1!$A:$D,4,FALSE)</f>
        <v>1</v>
      </c>
      <c r="G334">
        <f>VLOOKUP(A334,[2]Sheet1!$A:$D,2,FALSE)</f>
        <v>-1</v>
      </c>
      <c r="H334">
        <f>VLOOKUP(A334,[2]Sheet1!$A:$D,3,FALSE)</f>
        <v>-1</v>
      </c>
      <c r="I334">
        <f>VLOOKUP(A334,[2]Sheet1!$A:$D,4,FALSE)</f>
        <v>4</v>
      </c>
      <c r="J334" t="str">
        <f>VLOOKUP(A334,[3]Sheet1!$A:$C,2,FALSE)</f>
        <v>AUTO</v>
      </c>
      <c r="K334" t="str">
        <f>VLOOKUP(A334,[3]Sheet1!$A:$C,3,FALSE)</f>
        <v>ALL</v>
      </c>
    </row>
    <row r="335" spans="1:11" x14ac:dyDescent="0.25">
      <c r="A335" s="2" t="s">
        <v>338</v>
      </c>
      <c r="B335">
        <v>65</v>
      </c>
      <c r="C335" t="s">
        <v>7</v>
      </c>
      <c r="D335" t="str">
        <f>VLOOKUP(A335,[1]Sheet1!$A:$D,2,FALSE)</f>
        <v>GE MEDICAL SYSTEMS</v>
      </c>
      <c r="E335" t="str">
        <f>VLOOKUP(A335,[1]Sheet1!$A:$D,3,FALSE)</f>
        <v>DISCOVERY MR450</v>
      </c>
      <c r="F335">
        <f>VLOOKUP(A335,[1]Sheet1!$A:$D,4,FALSE)</f>
        <v>1.5</v>
      </c>
      <c r="G335">
        <f>VLOOKUP(A335,[2]Sheet1!$A:$D,2,FALSE)</f>
        <v>0</v>
      </c>
      <c r="H335">
        <f>VLOOKUP(A335,[2]Sheet1!$A:$D,3,FALSE)</f>
        <v>-1</v>
      </c>
      <c r="I335">
        <f>VLOOKUP(A335,[2]Sheet1!$A:$D,4,FALSE)</f>
        <v>4</v>
      </c>
      <c r="J335" t="str">
        <f>VLOOKUP(A335,[3]Sheet1!$A:$C,2,FALSE)</f>
        <v>OBS1</v>
      </c>
      <c r="K335" t="str">
        <f>VLOOKUP(A335,[3]Sheet1!$A:$C,3,FALSE)</f>
        <v>T2</v>
      </c>
    </row>
    <row r="336" spans="1:11" x14ac:dyDescent="0.25">
      <c r="A336" s="2" t="s">
        <v>339</v>
      </c>
      <c r="B336">
        <v>55</v>
      </c>
      <c r="C336" t="s">
        <v>4</v>
      </c>
      <c r="D336" t="str">
        <f>VLOOKUP(A336,[1]Sheet1!$A:$D,2,FALSE)</f>
        <v>SIEMENS</v>
      </c>
      <c r="E336" t="str">
        <f>VLOOKUP(A336,[1]Sheet1!$A:$D,3,FALSE)</f>
        <v>Harmony</v>
      </c>
      <c r="F336">
        <f>VLOOKUP(A336,[1]Sheet1!$A:$D,4,FALSE)</f>
        <v>1</v>
      </c>
      <c r="G336">
        <f>VLOOKUP(A336,[2]Sheet1!$A:$D,2,FALSE)</f>
        <v>-1</v>
      </c>
      <c r="H336">
        <f>VLOOKUP(A336,[2]Sheet1!$A:$D,3,FALSE)</f>
        <v>-1</v>
      </c>
      <c r="I336">
        <f>VLOOKUP(A336,[2]Sheet1!$A:$D,4,FALSE)</f>
        <v>4</v>
      </c>
      <c r="J336" t="str">
        <f>VLOOKUP(A336,[3]Sheet1!$A:$C,2,FALSE)</f>
        <v>AUTO</v>
      </c>
      <c r="K336" t="str">
        <f>VLOOKUP(A336,[3]Sheet1!$A:$C,3,FALSE)</f>
        <v>ALL</v>
      </c>
    </row>
    <row r="337" spans="1:11" x14ac:dyDescent="0.25">
      <c r="A337" s="2" t="s">
        <v>340</v>
      </c>
      <c r="B337">
        <v>68</v>
      </c>
      <c r="C337" t="s">
        <v>4</v>
      </c>
      <c r="D337" t="str">
        <f>VLOOKUP(A337,[1]Sheet1!$A:$D,2,FALSE)</f>
        <v>SIEMENS</v>
      </c>
      <c r="E337" t="str">
        <f>VLOOKUP(A337,[1]Sheet1!$A:$D,3,FALSE)</f>
        <v>Symphony</v>
      </c>
      <c r="F337">
        <f>VLOOKUP(A337,[1]Sheet1!$A:$D,4,FALSE)</f>
        <v>1.5</v>
      </c>
      <c r="G337">
        <f>VLOOKUP(A337,[2]Sheet1!$A:$D,2,FALSE)</f>
        <v>0</v>
      </c>
      <c r="H337">
        <f>VLOOKUP(A337,[2]Sheet1!$A:$D,3,FALSE)</f>
        <v>-1</v>
      </c>
      <c r="I337">
        <f>VLOOKUP(A337,[2]Sheet1!$A:$D,4,FALSE)</f>
        <v>4</v>
      </c>
      <c r="J337" t="str">
        <f>VLOOKUP(A337,[3]Sheet1!$A:$C,2,FALSE)</f>
        <v>OBS1</v>
      </c>
      <c r="K337" t="str">
        <f>VLOOKUP(A337,[3]Sheet1!$A:$C,3,FALSE)</f>
        <v>FLAIR</v>
      </c>
    </row>
    <row r="338" spans="1:11" x14ac:dyDescent="0.25">
      <c r="A338" s="2" t="s">
        <v>341</v>
      </c>
      <c r="B338">
        <v>68</v>
      </c>
      <c r="C338" t="s">
        <v>7</v>
      </c>
      <c r="D338" t="str">
        <f>VLOOKUP(A338,[1]Sheet1!$A:$D,2,FALSE)</f>
        <v>SIEMENS</v>
      </c>
      <c r="E338" t="str">
        <f>VLOOKUP(A338,[1]Sheet1!$A:$D,3,FALSE)</f>
        <v>Avanto_fit</v>
      </c>
      <c r="F338">
        <f>VLOOKUP(A338,[1]Sheet1!$A:$D,4,FALSE)</f>
        <v>1.5</v>
      </c>
      <c r="G338">
        <f>VLOOKUP(A338,[2]Sheet1!$A:$D,2,FALSE)</f>
        <v>0</v>
      </c>
      <c r="H338">
        <f>VLOOKUP(A338,[2]Sheet1!$A:$D,3,FALSE)</f>
        <v>0</v>
      </c>
      <c r="I338">
        <f>VLOOKUP(A338,[2]Sheet1!$A:$D,4,FALSE)</f>
        <v>4</v>
      </c>
      <c r="J338" t="str">
        <f>VLOOKUP(A338,[3]Sheet1!$A:$C,2,FALSE)</f>
        <v>AUTO</v>
      </c>
      <c r="K338" t="str">
        <f>VLOOKUP(A338,[3]Sheet1!$A:$C,3,FALSE)</f>
        <v>ALL</v>
      </c>
    </row>
    <row r="339" spans="1:11" x14ac:dyDescent="0.25">
      <c r="A339" s="2" t="s">
        <v>342</v>
      </c>
      <c r="B339">
        <v>53</v>
      </c>
      <c r="C339" t="s">
        <v>7</v>
      </c>
      <c r="D339" t="str">
        <f>VLOOKUP(A339,[1]Sheet1!$A:$D,2,FALSE)</f>
        <v>SIEMENS</v>
      </c>
      <c r="E339" t="str">
        <f>VLOOKUP(A339,[1]Sheet1!$A:$D,3,FALSE)</f>
        <v>MAGNETOM_ESSENZA</v>
      </c>
      <c r="F339">
        <f>VLOOKUP(A339,[1]Sheet1!$A:$D,4,FALSE)</f>
        <v>1.5</v>
      </c>
      <c r="G339">
        <f>VLOOKUP(A339,[2]Sheet1!$A:$D,2,FALSE)</f>
        <v>0</v>
      </c>
      <c r="H339">
        <f>VLOOKUP(A339,[2]Sheet1!$A:$D,3,FALSE)</f>
        <v>0</v>
      </c>
      <c r="I339">
        <f>VLOOKUP(A339,[2]Sheet1!$A:$D,4,FALSE)</f>
        <v>4</v>
      </c>
      <c r="J339" t="str">
        <f>VLOOKUP(A339,[3]Sheet1!$A:$C,2,FALSE)</f>
        <v>OBS1</v>
      </c>
      <c r="K339" t="str">
        <f>VLOOKUP(A339,[3]Sheet1!$A:$C,3,FALSE)</f>
        <v>T2</v>
      </c>
    </row>
    <row r="340" spans="1:11" x14ac:dyDescent="0.25">
      <c r="A340" s="2" t="s">
        <v>343</v>
      </c>
      <c r="B340">
        <v>-1</v>
      </c>
      <c r="C340" t="s">
        <v>7</v>
      </c>
      <c r="D340" t="str">
        <f>VLOOKUP(A340,[1]Sheet1!$A:$D,2,FALSE)</f>
        <v>GE MEDICAL SYSTEMS</v>
      </c>
      <c r="E340" t="str">
        <f>VLOOKUP(A340,[1]Sheet1!$A:$D,3,FALSE)</f>
        <v>DISCOVERY MR750</v>
      </c>
      <c r="F340">
        <f>VLOOKUP(A340,[1]Sheet1!$A:$D,4,FALSE)</f>
        <v>3</v>
      </c>
      <c r="G340">
        <f>VLOOKUP(A340,[2]Sheet1!$A:$D,2,FALSE)</f>
        <v>-1</v>
      </c>
      <c r="H340">
        <f>VLOOKUP(A340,[2]Sheet1!$A:$D,3,FALSE)</f>
        <v>-1</v>
      </c>
      <c r="I340">
        <f>VLOOKUP(A340,[2]Sheet1!$A:$D,4,FALSE)</f>
        <v>2</v>
      </c>
      <c r="J340" t="str">
        <f>VLOOKUP(A340,[3]Sheet1!$A:$C,2,FALSE)</f>
        <v>AUTO</v>
      </c>
      <c r="K340" t="str">
        <f>VLOOKUP(A340,[3]Sheet1!$A:$C,3,FALSE)</f>
        <v>ALL</v>
      </c>
    </row>
    <row r="341" spans="1:11" x14ac:dyDescent="0.25">
      <c r="A341" s="2" t="s">
        <v>344</v>
      </c>
      <c r="B341">
        <v>52</v>
      </c>
      <c r="C341" t="s">
        <v>4</v>
      </c>
      <c r="D341" t="str">
        <f>VLOOKUP(A341,[1]Sheet1!$A:$D,2,FALSE)</f>
        <v>GE MEDICAL SYSTEMS</v>
      </c>
      <c r="E341" t="str">
        <f>VLOOKUP(A341,[1]Sheet1!$A:$D,3,FALSE)</f>
        <v>DISCOVERY MR450</v>
      </c>
      <c r="F341">
        <f>VLOOKUP(A341,[1]Sheet1!$A:$D,4,FALSE)</f>
        <v>1.5</v>
      </c>
      <c r="G341">
        <f>VLOOKUP(A341,[2]Sheet1!$A:$D,2,FALSE)</f>
        <v>1</v>
      </c>
      <c r="H341">
        <f>VLOOKUP(A341,[2]Sheet1!$A:$D,3,FALSE)</f>
        <v>0</v>
      </c>
      <c r="I341">
        <f>VLOOKUP(A341,[2]Sheet1!$A:$D,4,FALSE)</f>
        <v>2</v>
      </c>
      <c r="J341" t="str">
        <f>VLOOKUP(A341,[3]Sheet1!$A:$C,2,FALSE)</f>
        <v>OBS2</v>
      </c>
      <c r="K341" t="str">
        <f>VLOOKUP(A341,[3]Sheet1!$A:$C,3,FALSE)</f>
        <v>FLAIR</v>
      </c>
    </row>
    <row r="342" spans="1:11" x14ac:dyDescent="0.25">
      <c r="A342" s="2" t="s">
        <v>345</v>
      </c>
      <c r="B342">
        <v>79</v>
      </c>
      <c r="C342" t="s">
        <v>7</v>
      </c>
      <c r="D342" t="str">
        <f>VLOOKUP(A342,[1]Sheet1!$A:$D,2,FALSE)</f>
        <v>Philips Medical Systems</v>
      </c>
      <c r="E342" t="str">
        <f>VLOOKUP(A342,[1]Sheet1!$A:$D,3,FALSE)</f>
        <v>Achieva</v>
      </c>
      <c r="F342">
        <f>VLOOKUP(A342,[1]Sheet1!$A:$D,4,FALSE)</f>
        <v>1.5</v>
      </c>
      <c r="G342">
        <f>VLOOKUP(A342,[2]Sheet1!$A:$D,2,FALSE)</f>
        <v>-1</v>
      </c>
      <c r="H342">
        <f>VLOOKUP(A342,[2]Sheet1!$A:$D,3,FALSE)</f>
        <v>-1</v>
      </c>
      <c r="I342">
        <f>VLOOKUP(A342,[2]Sheet1!$A:$D,4,FALSE)</f>
        <v>4</v>
      </c>
      <c r="J342" t="str">
        <f>VLOOKUP(A342,[3]Sheet1!$A:$C,2,FALSE)</f>
        <v>AUTO</v>
      </c>
      <c r="K342" t="str">
        <f>VLOOKUP(A342,[3]Sheet1!$A:$C,3,FALSE)</f>
        <v>ALL</v>
      </c>
    </row>
    <row r="343" spans="1:11" x14ac:dyDescent="0.25">
      <c r="A343" s="2" t="s">
        <v>346</v>
      </c>
      <c r="B343">
        <v>76</v>
      </c>
      <c r="C343" t="s">
        <v>7</v>
      </c>
      <c r="D343" t="str">
        <f>VLOOKUP(A343,[1]Sheet1!$A:$D,2,FALSE)</f>
        <v>SIEMENS</v>
      </c>
      <c r="E343" t="str">
        <f>VLOOKUP(A343,[1]Sheet1!$A:$D,3,FALSE)</f>
        <v>MAGNETOM_ESSENZA</v>
      </c>
      <c r="F343">
        <f>VLOOKUP(A343,[1]Sheet1!$A:$D,4,FALSE)</f>
        <v>1.5</v>
      </c>
      <c r="G343">
        <f>VLOOKUP(A343,[2]Sheet1!$A:$D,2,FALSE)</f>
        <v>0</v>
      </c>
      <c r="H343">
        <f>VLOOKUP(A343,[2]Sheet1!$A:$D,3,FALSE)</f>
        <v>-1</v>
      </c>
      <c r="I343">
        <f>VLOOKUP(A343,[2]Sheet1!$A:$D,4,FALSE)</f>
        <v>4</v>
      </c>
      <c r="J343" t="str">
        <f>VLOOKUP(A343,[3]Sheet1!$A:$C,2,FALSE)</f>
        <v>OBS1</v>
      </c>
      <c r="K343" t="str">
        <f>VLOOKUP(A343,[3]Sheet1!$A:$C,3,FALSE)</f>
        <v>T2</v>
      </c>
    </row>
    <row r="344" spans="1:11" x14ac:dyDescent="0.25">
      <c r="A344" s="2" t="s">
        <v>347</v>
      </c>
      <c r="B344">
        <v>70</v>
      </c>
      <c r="C344" t="s">
        <v>4</v>
      </c>
      <c r="D344" t="str">
        <f>VLOOKUP(A344,[1]Sheet1!$A:$D,2,FALSE)</f>
        <v>SIEMENS</v>
      </c>
      <c r="E344" t="str">
        <f>VLOOKUP(A344,[1]Sheet1!$A:$D,3,FALSE)</f>
        <v>Aera</v>
      </c>
      <c r="F344">
        <f>VLOOKUP(A344,[1]Sheet1!$A:$D,4,FALSE)</f>
        <v>1.5</v>
      </c>
      <c r="G344">
        <f>VLOOKUP(A344,[2]Sheet1!$A:$D,2,FALSE)</f>
        <v>0</v>
      </c>
      <c r="H344">
        <f>VLOOKUP(A344,[2]Sheet1!$A:$D,3,FALSE)</f>
        <v>-1</v>
      </c>
      <c r="I344">
        <f>VLOOKUP(A344,[2]Sheet1!$A:$D,4,FALSE)</f>
        <v>4</v>
      </c>
      <c r="J344" t="str">
        <f>VLOOKUP(A344,[3]Sheet1!$A:$C,2,FALSE)</f>
        <v>AUTO</v>
      </c>
      <c r="K344" t="str">
        <f>VLOOKUP(A344,[3]Sheet1!$A:$C,3,FALSE)</f>
        <v>ALL</v>
      </c>
    </row>
    <row r="345" spans="1:11" x14ac:dyDescent="0.25">
      <c r="A345" s="2" t="s">
        <v>348</v>
      </c>
      <c r="B345">
        <v>46</v>
      </c>
      <c r="C345" t="s">
        <v>4</v>
      </c>
      <c r="D345" t="str">
        <f>VLOOKUP(A345,[1]Sheet1!$A:$D,2,FALSE)</f>
        <v>SIEMENS</v>
      </c>
      <c r="E345" t="str">
        <f>VLOOKUP(A345,[1]Sheet1!$A:$D,3,FALSE)</f>
        <v>Avanto</v>
      </c>
      <c r="F345">
        <f>VLOOKUP(A345,[1]Sheet1!$A:$D,4,FALSE)</f>
        <v>1.5</v>
      </c>
      <c r="G345">
        <f>VLOOKUP(A345,[2]Sheet1!$A:$D,2,FALSE)</f>
        <v>0</v>
      </c>
      <c r="H345">
        <f>VLOOKUP(A345,[2]Sheet1!$A:$D,3,FALSE)</f>
        <v>0</v>
      </c>
      <c r="I345">
        <f>VLOOKUP(A345,[2]Sheet1!$A:$D,4,FALSE)</f>
        <v>4</v>
      </c>
      <c r="J345" t="str">
        <f>VLOOKUP(A345,[3]Sheet1!$A:$C,2,FALSE)</f>
        <v>OBS1</v>
      </c>
      <c r="K345" t="str">
        <f>VLOOKUP(A345,[3]Sheet1!$A:$C,3,FALSE)</f>
        <v>T2</v>
      </c>
    </row>
    <row r="346" spans="1:11" x14ac:dyDescent="0.25">
      <c r="A346" s="2" t="s">
        <v>349</v>
      </c>
      <c r="B346">
        <v>86</v>
      </c>
      <c r="C346" t="s">
        <v>4</v>
      </c>
      <c r="D346" t="str">
        <f>VLOOKUP(A346,[1]Sheet1!$A:$D,2,FALSE)</f>
        <v>Philips Medical Systems</v>
      </c>
      <c r="E346" t="str">
        <f>VLOOKUP(A346,[1]Sheet1!$A:$D,3,FALSE)</f>
        <v>Achieva</v>
      </c>
      <c r="F346">
        <f>VLOOKUP(A346,[1]Sheet1!$A:$D,4,FALSE)</f>
        <v>1.5</v>
      </c>
      <c r="G346">
        <f>VLOOKUP(A346,[2]Sheet1!$A:$D,2,FALSE)</f>
        <v>0</v>
      </c>
      <c r="H346">
        <f>VLOOKUP(A346,[2]Sheet1!$A:$D,3,FALSE)</f>
        <v>-1</v>
      </c>
      <c r="I346">
        <f>VLOOKUP(A346,[2]Sheet1!$A:$D,4,FALSE)</f>
        <v>4</v>
      </c>
      <c r="J346" t="str">
        <f>VLOOKUP(A346,[3]Sheet1!$A:$C,2,FALSE)</f>
        <v>OBS1</v>
      </c>
      <c r="K346" t="str">
        <f>VLOOKUP(A346,[3]Sheet1!$A:$C,3,FALSE)</f>
        <v>T2</v>
      </c>
    </row>
    <row r="347" spans="1:11" x14ac:dyDescent="0.25">
      <c r="A347" s="2" t="s">
        <v>350</v>
      </c>
      <c r="B347">
        <v>30</v>
      </c>
      <c r="C347" t="s">
        <v>4</v>
      </c>
      <c r="D347" t="str">
        <f>VLOOKUP(A347,[1]Sheet1!$A:$D,2,FALSE)</f>
        <v>Philips Medical Systems</v>
      </c>
      <c r="E347" t="str">
        <f>VLOOKUP(A347,[1]Sheet1!$A:$D,3,FALSE)</f>
        <v>NT Intera</v>
      </c>
      <c r="F347">
        <f>VLOOKUP(A347,[1]Sheet1!$A:$D,4,FALSE)</f>
        <v>1</v>
      </c>
      <c r="G347">
        <f>VLOOKUP(A347,[2]Sheet1!$A:$D,2,FALSE)</f>
        <v>1</v>
      </c>
      <c r="H347">
        <f>VLOOKUP(A347,[2]Sheet1!$A:$D,3,FALSE)</f>
        <v>0</v>
      </c>
      <c r="I347">
        <f>VLOOKUP(A347,[2]Sheet1!$A:$D,4,FALSE)</f>
        <v>2</v>
      </c>
      <c r="J347" t="str">
        <f>VLOOKUP(A347,[3]Sheet1!$A:$C,2,FALSE)</f>
        <v>OBS2</v>
      </c>
      <c r="K347" t="str">
        <f>VLOOKUP(A347,[3]Sheet1!$A:$C,3,FALSE)</f>
        <v>FLAIR</v>
      </c>
    </row>
    <row r="348" spans="1:11" x14ac:dyDescent="0.25">
      <c r="A348" s="2" t="s">
        <v>351</v>
      </c>
      <c r="B348">
        <v>39</v>
      </c>
      <c r="C348" t="s">
        <v>4</v>
      </c>
      <c r="D348" t="str">
        <f>VLOOKUP(A348,[1]Sheet1!$A:$D,2,FALSE)</f>
        <v>SIEMENS</v>
      </c>
      <c r="E348" t="str">
        <f>VLOOKUP(A348,[1]Sheet1!$A:$D,3,FALSE)</f>
        <v>Avanto</v>
      </c>
      <c r="F348">
        <f>VLOOKUP(A348,[1]Sheet1!$A:$D,4,FALSE)</f>
        <v>1.5</v>
      </c>
      <c r="G348">
        <f>VLOOKUP(A348,[2]Sheet1!$A:$D,2,FALSE)</f>
        <v>-1</v>
      </c>
      <c r="H348">
        <f>VLOOKUP(A348,[2]Sheet1!$A:$D,3,FALSE)</f>
        <v>-1</v>
      </c>
      <c r="I348">
        <f>VLOOKUP(A348,[2]Sheet1!$A:$D,4,FALSE)</f>
        <v>-1</v>
      </c>
      <c r="J348" t="str">
        <f>VLOOKUP(A348,[3]Sheet1!$A:$C,2,FALSE)</f>
        <v>AUTO</v>
      </c>
      <c r="K348" t="str">
        <f>VLOOKUP(A348,[3]Sheet1!$A:$C,3,FALSE)</f>
        <v>ALL</v>
      </c>
    </row>
    <row r="349" spans="1:11" x14ac:dyDescent="0.25">
      <c r="A349" s="2" t="s">
        <v>352</v>
      </c>
      <c r="B349">
        <v>45</v>
      </c>
      <c r="C349" t="s">
        <v>4</v>
      </c>
      <c r="D349" t="str">
        <f>VLOOKUP(A349,[1]Sheet1!$A:$D,2,FALSE)</f>
        <v>Philips Medical Systems</v>
      </c>
      <c r="E349" t="str">
        <f>VLOOKUP(A349,[1]Sheet1!$A:$D,3,FALSE)</f>
        <v>Intera</v>
      </c>
      <c r="F349">
        <f>VLOOKUP(A349,[1]Sheet1!$A:$D,4,FALSE)</f>
        <v>1.5</v>
      </c>
      <c r="G349">
        <f>VLOOKUP(A349,[2]Sheet1!$A:$D,2,FALSE)</f>
        <v>-1</v>
      </c>
      <c r="H349">
        <f>VLOOKUP(A349,[2]Sheet1!$A:$D,3,FALSE)</f>
        <v>-1</v>
      </c>
      <c r="I349">
        <f>VLOOKUP(A349,[2]Sheet1!$A:$D,4,FALSE)</f>
        <v>4</v>
      </c>
      <c r="J349" t="str">
        <f>VLOOKUP(A349,[3]Sheet1!$A:$C,2,FALSE)</f>
        <v>AUTO</v>
      </c>
      <c r="K349" t="str">
        <f>VLOOKUP(A349,[3]Sheet1!$A:$C,3,FALSE)</f>
        <v>ALL</v>
      </c>
    </row>
    <row r="350" spans="1:11" x14ac:dyDescent="0.25">
      <c r="A350" s="2" t="s">
        <v>353</v>
      </c>
      <c r="B350">
        <v>64</v>
      </c>
      <c r="C350" t="s">
        <v>4</v>
      </c>
      <c r="D350" t="str">
        <f>VLOOKUP(A350,[1]Sheet1!$A:$D,2,FALSE)</f>
        <v>SIEMENS</v>
      </c>
      <c r="E350" t="str">
        <f>VLOOKUP(A350,[1]Sheet1!$A:$D,3,FALSE)</f>
        <v>MAGNETOM_ESSENZA</v>
      </c>
      <c r="F350">
        <f>VLOOKUP(A350,[1]Sheet1!$A:$D,4,FALSE)</f>
        <v>1.5</v>
      </c>
      <c r="G350">
        <f>VLOOKUP(A350,[2]Sheet1!$A:$D,2,FALSE)</f>
        <v>0</v>
      </c>
      <c r="H350">
        <f>VLOOKUP(A350,[2]Sheet1!$A:$D,3,FALSE)</f>
        <v>0</v>
      </c>
      <c r="I350">
        <f>VLOOKUP(A350,[2]Sheet1!$A:$D,4,FALSE)</f>
        <v>4</v>
      </c>
      <c r="J350" t="str">
        <f>VLOOKUP(A350,[3]Sheet1!$A:$C,2,FALSE)</f>
        <v>OBS1</v>
      </c>
      <c r="K350" t="str">
        <f>VLOOKUP(A350,[3]Sheet1!$A:$C,3,FALSE)</f>
        <v>T2</v>
      </c>
    </row>
    <row r="351" spans="1:11" x14ac:dyDescent="0.25">
      <c r="A351" s="2" t="s">
        <v>354</v>
      </c>
      <c r="B351">
        <v>50</v>
      </c>
      <c r="C351" t="s">
        <v>4</v>
      </c>
      <c r="D351" t="str">
        <f>VLOOKUP(A351,[1]Sheet1!$A:$D,2,FALSE)</f>
        <v>SIEMENS</v>
      </c>
      <c r="E351" t="str">
        <f>VLOOKUP(A351,[1]Sheet1!$A:$D,3,FALSE)</f>
        <v>MAGNETOM_ESSENZA</v>
      </c>
      <c r="F351">
        <f>VLOOKUP(A351,[1]Sheet1!$A:$D,4,FALSE)</f>
        <v>1.5</v>
      </c>
      <c r="G351">
        <f>VLOOKUP(A351,[2]Sheet1!$A:$D,2,FALSE)</f>
        <v>-1</v>
      </c>
      <c r="H351">
        <f>VLOOKUP(A351,[2]Sheet1!$A:$D,3,FALSE)</f>
        <v>-1</v>
      </c>
      <c r="I351">
        <f>VLOOKUP(A351,[2]Sheet1!$A:$D,4,FALSE)</f>
        <v>4</v>
      </c>
      <c r="J351" t="str">
        <f>VLOOKUP(A351,[3]Sheet1!$A:$C,2,FALSE)</f>
        <v>AUTO</v>
      </c>
      <c r="K351" t="str">
        <f>VLOOKUP(A351,[3]Sheet1!$A:$C,3,FALSE)</f>
        <v>ALL</v>
      </c>
    </row>
    <row r="352" spans="1:11" x14ac:dyDescent="0.25">
      <c r="A352" s="2" t="s">
        <v>355</v>
      </c>
      <c r="B352">
        <v>48</v>
      </c>
      <c r="C352" t="s">
        <v>4</v>
      </c>
      <c r="D352" t="str">
        <f>VLOOKUP(A352,[1]Sheet1!$A:$D,2,FALSE)</f>
        <v>GE MEDICAL SYSTEMS</v>
      </c>
      <c r="E352" t="str">
        <f>VLOOKUP(A352,[1]Sheet1!$A:$D,3,FALSE)</f>
        <v>DISCOVERY MR450</v>
      </c>
      <c r="F352">
        <f>VLOOKUP(A352,[1]Sheet1!$A:$D,4,FALSE)</f>
        <v>1.5</v>
      </c>
      <c r="G352">
        <f>VLOOKUP(A352,[2]Sheet1!$A:$D,2,FALSE)</f>
        <v>1</v>
      </c>
      <c r="H352">
        <f>VLOOKUP(A352,[2]Sheet1!$A:$D,3,FALSE)</f>
        <v>1</v>
      </c>
      <c r="I352">
        <f>VLOOKUP(A352,[2]Sheet1!$A:$D,4,FALSE)</f>
        <v>2</v>
      </c>
      <c r="J352" t="str">
        <f>VLOOKUP(A352,[3]Sheet1!$A:$C,2,FALSE)</f>
        <v>AUTO</v>
      </c>
      <c r="K352" t="str">
        <f>VLOOKUP(A352,[3]Sheet1!$A:$C,3,FALSE)</f>
        <v>ALL</v>
      </c>
    </row>
    <row r="353" spans="1:11" x14ac:dyDescent="0.25">
      <c r="A353" s="2" t="s">
        <v>356</v>
      </c>
      <c r="B353">
        <v>47</v>
      </c>
      <c r="C353" t="s">
        <v>7</v>
      </c>
      <c r="D353" t="str">
        <f>VLOOKUP(A353,[1]Sheet1!$A:$D,2,FALSE)</f>
        <v>SIEMENS</v>
      </c>
      <c r="E353" t="str">
        <f>VLOOKUP(A353,[1]Sheet1!$A:$D,3,FALSE)</f>
        <v>Espree</v>
      </c>
      <c r="F353">
        <f>VLOOKUP(A353,[1]Sheet1!$A:$D,4,FALSE)</f>
        <v>1.5</v>
      </c>
      <c r="G353">
        <f>VLOOKUP(A353,[2]Sheet1!$A:$D,2,FALSE)</f>
        <v>1</v>
      </c>
      <c r="H353">
        <f>VLOOKUP(A353,[2]Sheet1!$A:$D,3,FALSE)</f>
        <v>1</v>
      </c>
      <c r="I353">
        <f>VLOOKUP(A353,[2]Sheet1!$A:$D,4,FALSE)</f>
        <v>2</v>
      </c>
      <c r="J353" t="str">
        <f>VLOOKUP(A353,[3]Sheet1!$A:$C,2,FALSE)</f>
        <v>AUTO</v>
      </c>
      <c r="K353" t="str">
        <f>VLOOKUP(A353,[3]Sheet1!$A:$C,3,FALSE)</f>
        <v>ALL</v>
      </c>
    </row>
    <row r="354" spans="1:11" x14ac:dyDescent="0.25">
      <c r="A354" s="2" t="s">
        <v>357</v>
      </c>
      <c r="B354">
        <v>67</v>
      </c>
      <c r="C354" t="s">
        <v>4</v>
      </c>
      <c r="D354" t="str">
        <f>VLOOKUP(A354,[1]Sheet1!$A:$D,2,FALSE)</f>
        <v>SIEMENS</v>
      </c>
      <c r="E354" t="str">
        <f>VLOOKUP(A354,[1]Sheet1!$A:$D,3,FALSE)</f>
        <v>Avanto</v>
      </c>
      <c r="F354">
        <f>VLOOKUP(A354,[1]Sheet1!$A:$D,4,FALSE)</f>
        <v>1.5</v>
      </c>
      <c r="G354">
        <f>VLOOKUP(A354,[2]Sheet1!$A:$D,2,FALSE)</f>
        <v>0</v>
      </c>
      <c r="H354">
        <f>VLOOKUP(A354,[2]Sheet1!$A:$D,3,FALSE)</f>
        <v>-1</v>
      </c>
      <c r="I354">
        <f>VLOOKUP(A354,[2]Sheet1!$A:$D,4,FALSE)</f>
        <v>4</v>
      </c>
      <c r="J354" t="str">
        <f>VLOOKUP(A354,[3]Sheet1!$A:$C,2,FALSE)</f>
        <v>OBS1</v>
      </c>
      <c r="K354" t="str">
        <f>VLOOKUP(A354,[3]Sheet1!$A:$C,3,FALSE)</f>
        <v>T2</v>
      </c>
    </row>
    <row r="355" spans="1:11" x14ac:dyDescent="0.25">
      <c r="A355" s="2" t="s">
        <v>358</v>
      </c>
      <c r="B355">
        <v>55</v>
      </c>
      <c r="C355" t="s">
        <v>7</v>
      </c>
      <c r="D355" t="str">
        <f>VLOOKUP(A355,[1]Sheet1!$A:$D,2,FALSE)</f>
        <v>Philips Medical Systems</v>
      </c>
      <c r="E355" t="str">
        <f>VLOOKUP(A355,[1]Sheet1!$A:$D,3,FALSE)</f>
        <v>Achieva</v>
      </c>
      <c r="F355">
        <f>VLOOKUP(A355,[1]Sheet1!$A:$D,4,FALSE)</f>
        <v>1.5</v>
      </c>
      <c r="G355">
        <f>VLOOKUP(A355,[2]Sheet1!$A:$D,2,FALSE)</f>
        <v>0</v>
      </c>
      <c r="H355">
        <f>VLOOKUP(A355,[2]Sheet1!$A:$D,3,FALSE)</f>
        <v>-1</v>
      </c>
      <c r="I355">
        <f>VLOOKUP(A355,[2]Sheet1!$A:$D,4,FALSE)</f>
        <v>4</v>
      </c>
      <c r="J355" t="str">
        <f>VLOOKUP(A355,[3]Sheet1!$A:$C,2,FALSE)</f>
        <v>OBS1</v>
      </c>
      <c r="K355" t="str">
        <f>VLOOKUP(A355,[3]Sheet1!$A:$C,3,FALSE)</f>
        <v>T2</v>
      </c>
    </row>
    <row r="356" spans="1:11" x14ac:dyDescent="0.25">
      <c r="A356" s="2" t="s">
        <v>359</v>
      </c>
      <c r="B356">
        <v>43</v>
      </c>
      <c r="C356" t="s">
        <v>4</v>
      </c>
      <c r="D356" t="str">
        <f>VLOOKUP(A356,[1]Sheet1!$A:$D,2,FALSE)</f>
        <v>TOSHIBA_MEC</v>
      </c>
      <c r="E356" t="str">
        <f>VLOOKUP(A356,[1]Sheet1!$A:$D,3,FALSE)</f>
        <v>MRT200PP3</v>
      </c>
      <c r="F356">
        <f>VLOOKUP(A356,[1]Sheet1!$A:$D,4,FALSE)</f>
        <v>-1</v>
      </c>
      <c r="G356">
        <f>VLOOKUP(A356,[2]Sheet1!$A:$D,2,FALSE)</f>
        <v>1</v>
      </c>
      <c r="H356">
        <f>VLOOKUP(A356,[2]Sheet1!$A:$D,3,FALSE)</f>
        <v>0</v>
      </c>
      <c r="I356">
        <f>VLOOKUP(A356,[2]Sheet1!$A:$D,4,FALSE)</f>
        <v>2</v>
      </c>
      <c r="J356" t="str">
        <f>VLOOKUP(A356,[3]Sheet1!$A:$C,2,FALSE)</f>
        <v>OBS2</v>
      </c>
      <c r="K356" t="str">
        <f>VLOOKUP(A356,[3]Sheet1!$A:$C,3,FALSE)</f>
        <v>FLAIR</v>
      </c>
    </row>
    <row r="357" spans="1:11" x14ac:dyDescent="0.25">
      <c r="A357" s="2" t="s">
        <v>360</v>
      </c>
      <c r="B357">
        <v>50</v>
      </c>
      <c r="C357" t="s">
        <v>4</v>
      </c>
      <c r="D357" t="str">
        <f>VLOOKUP(A357,[1]Sheet1!$A:$D,2,FALSE)</f>
        <v>GE MEDICAL SYSTEMS</v>
      </c>
      <c r="E357" t="str">
        <f>VLOOKUP(A357,[1]Sheet1!$A:$D,3,FALSE)</f>
        <v>DISCOVERY MR450</v>
      </c>
      <c r="F357">
        <f>VLOOKUP(A357,[1]Sheet1!$A:$D,4,FALSE)</f>
        <v>1.5</v>
      </c>
      <c r="G357">
        <f>VLOOKUP(A357,[2]Sheet1!$A:$D,2,FALSE)</f>
        <v>1</v>
      </c>
      <c r="H357">
        <f>VLOOKUP(A357,[2]Sheet1!$A:$D,3,FALSE)</f>
        <v>1</v>
      </c>
      <c r="I357">
        <f>VLOOKUP(A357,[2]Sheet1!$A:$D,4,FALSE)</f>
        <v>2</v>
      </c>
      <c r="J357" t="str">
        <f>VLOOKUP(A357,[3]Sheet1!$A:$C,2,FALSE)</f>
        <v>OBS2</v>
      </c>
      <c r="K357" t="str">
        <f>VLOOKUP(A357,[3]Sheet1!$A:$C,3,FALSE)</f>
        <v>FLAIR</v>
      </c>
    </row>
    <row r="358" spans="1:11" x14ac:dyDescent="0.25">
      <c r="A358" s="2" t="s">
        <v>361</v>
      </c>
      <c r="B358">
        <v>49</v>
      </c>
      <c r="C358" t="s">
        <v>4</v>
      </c>
      <c r="D358" t="str">
        <f>VLOOKUP(A358,[1]Sheet1!$A:$D,2,FALSE)</f>
        <v>SIEMENS</v>
      </c>
      <c r="E358" t="str">
        <f>VLOOKUP(A358,[1]Sheet1!$A:$D,3,FALSE)</f>
        <v>Espree</v>
      </c>
      <c r="F358">
        <f>VLOOKUP(A358,[1]Sheet1!$A:$D,4,FALSE)</f>
        <v>1.5</v>
      </c>
      <c r="G358">
        <f>VLOOKUP(A358,[2]Sheet1!$A:$D,2,FALSE)</f>
        <v>0</v>
      </c>
      <c r="H358">
        <f>VLOOKUP(A358,[2]Sheet1!$A:$D,3,FALSE)</f>
        <v>0</v>
      </c>
      <c r="I358">
        <f>VLOOKUP(A358,[2]Sheet1!$A:$D,4,FALSE)</f>
        <v>4</v>
      </c>
      <c r="J358" t="str">
        <f>VLOOKUP(A358,[3]Sheet1!$A:$C,2,FALSE)</f>
        <v>OBS1</v>
      </c>
      <c r="K358" t="str">
        <f>VLOOKUP(A358,[3]Sheet1!$A:$C,3,FALSE)</f>
        <v>T2</v>
      </c>
    </row>
    <row r="359" spans="1:11" x14ac:dyDescent="0.25">
      <c r="A359" s="2" t="s">
        <v>362</v>
      </c>
      <c r="B359">
        <v>64</v>
      </c>
      <c r="C359" t="s">
        <v>4</v>
      </c>
      <c r="D359" t="str">
        <f>VLOOKUP(A359,[1]Sheet1!$A:$D,2,FALSE)</f>
        <v>SIEMENS</v>
      </c>
      <c r="E359" t="str">
        <f>VLOOKUP(A359,[1]Sheet1!$A:$D,3,FALSE)</f>
        <v>Aera</v>
      </c>
      <c r="F359">
        <f>VLOOKUP(A359,[1]Sheet1!$A:$D,4,FALSE)</f>
        <v>1.5</v>
      </c>
      <c r="G359">
        <f>VLOOKUP(A359,[2]Sheet1!$A:$D,2,FALSE)</f>
        <v>0</v>
      </c>
      <c r="H359">
        <f>VLOOKUP(A359,[2]Sheet1!$A:$D,3,FALSE)</f>
        <v>-1</v>
      </c>
      <c r="I359">
        <f>VLOOKUP(A359,[2]Sheet1!$A:$D,4,FALSE)</f>
        <v>4</v>
      </c>
      <c r="J359" t="str">
        <f>VLOOKUP(A359,[3]Sheet1!$A:$C,2,FALSE)</f>
        <v>OBS1</v>
      </c>
      <c r="K359" t="str">
        <f>VLOOKUP(A359,[3]Sheet1!$A:$C,3,FALSE)</f>
        <v>T2</v>
      </c>
    </row>
    <row r="360" spans="1:11" x14ac:dyDescent="0.25">
      <c r="A360" s="2" t="s">
        <v>363</v>
      </c>
      <c r="B360">
        <v>77</v>
      </c>
      <c r="C360" t="s">
        <v>7</v>
      </c>
      <c r="D360" t="str">
        <f>VLOOKUP(A360,[1]Sheet1!$A:$D,2,FALSE)</f>
        <v>SIEMENS</v>
      </c>
      <c r="E360" t="str">
        <f>VLOOKUP(A360,[1]Sheet1!$A:$D,3,FALSE)</f>
        <v>Symphony</v>
      </c>
      <c r="F360">
        <f>VLOOKUP(A360,[1]Sheet1!$A:$D,4,FALSE)</f>
        <v>1.5</v>
      </c>
      <c r="G360">
        <f>VLOOKUP(A360,[2]Sheet1!$A:$D,2,FALSE)</f>
        <v>-1</v>
      </c>
      <c r="H360">
        <f>VLOOKUP(A360,[2]Sheet1!$A:$D,3,FALSE)</f>
        <v>-1</v>
      </c>
      <c r="I360">
        <f>VLOOKUP(A360,[2]Sheet1!$A:$D,4,FALSE)</f>
        <v>4</v>
      </c>
      <c r="J360" t="str">
        <f>VLOOKUP(A360,[3]Sheet1!$A:$C,2,FALSE)</f>
        <v>AUTO</v>
      </c>
      <c r="K360" t="str">
        <f>VLOOKUP(A360,[3]Sheet1!$A:$C,3,FALSE)</f>
        <v>ALL</v>
      </c>
    </row>
    <row r="361" spans="1:11" x14ac:dyDescent="0.25">
      <c r="A361" s="2" t="s">
        <v>364</v>
      </c>
      <c r="B361">
        <v>65</v>
      </c>
      <c r="C361" t="s">
        <v>7</v>
      </c>
      <c r="D361" t="str">
        <f>VLOOKUP(A361,[1]Sheet1!$A:$D,2,FALSE)</f>
        <v>Philips Medical Systems</v>
      </c>
      <c r="E361" t="str">
        <f>VLOOKUP(A361,[1]Sheet1!$A:$D,3,FALSE)</f>
        <v>Intera</v>
      </c>
      <c r="F361">
        <f>VLOOKUP(A361,[1]Sheet1!$A:$D,4,FALSE)</f>
        <v>1.5</v>
      </c>
      <c r="G361">
        <f>VLOOKUP(A361,[2]Sheet1!$A:$D,2,FALSE)</f>
        <v>-1</v>
      </c>
      <c r="H361">
        <f>VLOOKUP(A361,[2]Sheet1!$A:$D,3,FALSE)</f>
        <v>-1</v>
      </c>
      <c r="I361">
        <f>VLOOKUP(A361,[2]Sheet1!$A:$D,4,FALSE)</f>
        <v>4</v>
      </c>
      <c r="J361" t="str">
        <f>VLOOKUP(A361,[3]Sheet1!$A:$C,2,FALSE)</f>
        <v>AUTO</v>
      </c>
      <c r="K361" t="str">
        <f>VLOOKUP(A361,[3]Sheet1!$A:$C,3,FALSE)</f>
        <v>ALL</v>
      </c>
    </row>
    <row r="362" spans="1:11" x14ac:dyDescent="0.25">
      <c r="A362" s="2" t="s">
        <v>365</v>
      </c>
      <c r="B362">
        <v>79</v>
      </c>
      <c r="C362" t="s">
        <v>7</v>
      </c>
      <c r="D362" t="str">
        <f>VLOOKUP(A362,[1]Sheet1!$A:$D,2,FALSE)</f>
        <v>Philips Medical Systems</v>
      </c>
      <c r="E362" t="str">
        <f>VLOOKUP(A362,[1]Sheet1!$A:$D,3,FALSE)</f>
        <v>Intera</v>
      </c>
      <c r="F362">
        <f>VLOOKUP(A362,[1]Sheet1!$A:$D,4,FALSE)</f>
        <v>1.5</v>
      </c>
      <c r="G362">
        <f>VLOOKUP(A362,[2]Sheet1!$A:$D,2,FALSE)</f>
        <v>-1</v>
      </c>
      <c r="H362">
        <f>VLOOKUP(A362,[2]Sheet1!$A:$D,3,FALSE)</f>
        <v>-1</v>
      </c>
      <c r="I362">
        <f>VLOOKUP(A362,[2]Sheet1!$A:$D,4,FALSE)</f>
        <v>4</v>
      </c>
      <c r="J362" t="str">
        <f>VLOOKUP(A362,[3]Sheet1!$A:$C,2,FALSE)</f>
        <v>AUTO</v>
      </c>
      <c r="K362" t="str">
        <f>VLOOKUP(A362,[3]Sheet1!$A:$C,3,FALSE)</f>
        <v>ALL</v>
      </c>
    </row>
    <row r="363" spans="1:11" x14ac:dyDescent="0.25">
      <c r="A363" s="2" t="s">
        <v>366</v>
      </c>
      <c r="B363">
        <v>58</v>
      </c>
      <c r="C363" t="s">
        <v>4</v>
      </c>
      <c r="D363" t="str">
        <f>VLOOKUP(A363,[1]Sheet1!$A:$D,2,FALSE)</f>
        <v>SIEMENS</v>
      </c>
      <c r="E363" t="str">
        <f>VLOOKUP(A363,[1]Sheet1!$A:$D,3,FALSE)</f>
        <v>Harmony</v>
      </c>
      <c r="F363">
        <f>VLOOKUP(A363,[1]Sheet1!$A:$D,4,FALSE)</f>
        <v>1</v>
      </c>
      <c r="G363">
        <f>VLOOKUP(A363,[2]Sheet1!$A:$D,2,FALSE)</f>
        <v>-1</v>
      </c>
      <c r="H363">
        <f>VLOOKUP(A363,[2]Sheet1!$A:$D,3,FALSE)</f>
        <v>-1</v>
      </c>
      <c r="I363">
        <f>VLOOKUP(A363,[2]Sheet1!$A:$D,4,FALSE)</f>
        <v>4</v>
      </c>
      <c r="J363" t="str">
        <f>VLOOKUP(A363,[3]Sheet1!$A:$C,2,FALSE)</f>
        <v>OBS1</v>
      </c>
      <c r="K363" t="str">
        <f>VLOOKUP(A363,[3]Sheet1!$A:$C,3,FALSE)</f>
        <v>T2</v>
      </c>
    </row>
    <row r="364" spans="1:11" x14ac:dyDescent="0.25">
      <c r="A364" s="2" t="s">
        <v>367</v>
      </c>
      <c r="B364">
        <v>49</v>
      </c>
      <c r="C364" t="s">
        <v>4</v>
      </c>
      <c r="D364" t="str">
        <f>VLOOKUP(A364,[1]Sheet1!$A:$D,2,FALSE)</f>
        <v>SIEMENS</v>
      </c>
      <c r="E364" t="str">
        <f>VLOOKUP(A364,[1]Sheet1!$A:$D,3,FALSE)</f>
        <v>Aera</v>
      </c>
      <c r="F364">
        <f>VLOOKUP(A364,[1]Sheet1!$A:$D,4,FALSE)</f>
        <v>1.5</v>
      </c>
      <c r="G364">
        <f>VLOOKUP(A364,[2]Sheet1!$A:$D,2,FALSE)</f>
        <v>0</v>
      </c>
      <c r="H364">
        <f>VLOOKUP(A364,[2]Sheet1!$A:$D,3,FALSE)</f>
        <v>0</v>
      </c>
      <c r="I364">
        <f>VLOOKUP(A364,[2]Sheet1!$A:$D,4,FALSE)</f>
        <v>4</v>
      </c>
      <c r="J364" t="str">
        <f>VLOOKUP(A364,[3]Sheet1!$A:$C,2,FALSE)</f>
        <v>OBS1</v>
      </c>
      <c r="K364" t="str">
        <f>VLOOKUP(A364,[3]Sheet1!$A:$C,3,FALSE)</f>
        <v>FLAIR</v>
      </c>
    </row>
    <row r="365" spans="1:11" x14ac:dyDescent="0.25">
      <c r="A365" s="2" t="s">
        <v>368</v>
      </c>
      <c r="B365">
        <v>55</v>
      </c>
      <c r="C365" t="s">
        <v>7</v>
      </c>
      <c r="D365" t="str">
        <f>VLOOKUP(A365,[1]Sheet1!$A:$D,2,FALSE)</f>
        <v>Philips Medical Systems</v>
      </c>
      <c r="E365" t="str">
        <f>VLOOKUP(A365,[1]Sheet1!$A:$D,3,FALSE)</f>
        <v>Intera</v>
      </c>
      <c r="F365">
        <f>VLOOKUP(A365,[1]Sheet1!$A:$D,4,FALSE)</f>
        <v>1.5</v>
      </c>
      <c r="G365">
        <f>VLOOKUP(A365,[2]Sheet1!$A:$D,2,FALSE)</f>
        <v>-1</v>
      </c>
      <c r="H365">
        <f>VLOOKUP(A365,[2]Sheet1!$A:$D,3,FALSE)</f>
        <v>-1</v>
      </c>
      <c r="I365">
        <f>VLOOKUP(A365,[2]Sheet1!$A:$D,4,FALSE)</f>
        <v>4</v>
      </c>
      <c r="J365" t="str">
        <f>VLOOKUP(A365,[3]Sheet1!$A:$C,2,FALSE)</f>
        <v>AUTO</v>
      </c>
      <c r="K365" t="str">
        <f>VLOOKUP(A365,[3]Sheet1!$A:$C,3,FALSE)</f>
        <v>ALL</v>
      </c>
    </row>
    <row r="366" spans="1:11" x14ac:dyDescent="0.25">
      <c r="A366" s="2" t="s">
        <v>369</v>
      </c>
      <c r="B366">
        <v>81</v>
      </c>
      <c r="C366" t="s">
        <v>4</v>
      </c>
      <c r="D366" t="str">
        <f>VLOOKUP(A366,[1]Sheet1!$A:$D,2,FALSE)</f>
        <v>SIEMENS</v>
      </c>
      <c r="E366" t="str">
        <f>VLOOKUP(A366,[1]Sheet1!$A:$D,3,FALSE)</f>
        <v>Aera</v>
      </c>
      <c r="F366">
        <f>VLOOKUP(A366,[1]Sheet1!$A:$D,4,FALSE)</f>
        <v>1.5</v>
      </c>
      <c r="G366">
        <f>VLOOKUP(A366,[2]Sheet1!$A:$D,2,FALSE)</f>
        <v>0</v>
      </c>
      <c r="H366">
        <f>VLOOKUP(A366,[2]Sheet1!$A:$D,3,FALSE)</f>
        <v>-1</v>
      </c>
      <c r="I366">
        <f>VLOOKUP(A366,[2]Sheet1!$A:$D,4,FALSE)</f>
        <v>4</v>
      </c>
      <c r="J366" t="str">
        <f>VLOOKUP(A366,[3]Sheet1!$A:$C,2,FALSE)</f>
        <v>AUTO</v>
      </c>
      <c r="K366" t="str">
        <f>VLOOKUP(A366,[3]Sheet1!$A:$C,3,FALSE)</f>
        <v>ALL</v>
      </c>
    </row>
    <row r="367" spans="1:11" x14ac:dyDescent="0.25">
      <c r="A367" s="2" t="s">
        <v>370</v>
      </c>
      <c r="B367">
        <v>60</v>
      </c>
      <c r="C367" t="s">
        <v>7</v>
      </c>
      <c r="D367" t="str">
        <f>VLOOKUP(A367,[1]Sheet1!$A:$D,2,FALSE)</f>
        <v>Philips Medical Systems</v>
      </c>
      <c r="E367" t="str">
        <f>VLOOKUP(A367,[1]Sheet1!$A:$D,3,FALSE)</f>
        <v>Achieva dStream</v>
      </c>
      <c r="F367">
        <f>VLOOKUP(A367,[1]Sheet1!$A:$D,4,FALSE)</f>
        <v>1.5</v>
      </c>
      <c r="G367">
        <f>VLOOKUP(A367,[2]Sheet1!$A:$D,2,FALSE)</f>
        <v>0</v>
      </c>
      <c r="H367">
        <f>VLOOKUP(A367,[2]Sheet1!$A:$D,3,FALSE)</f>
        <v>-1</v>
      </c>
      <c r="I367">
        <f>VLOOKUP(A367,[2]Sheet1!$A:$D,4,FALSE)</f>
        <v>4</v>
      </c>
      <c r="J367" t="str">
        <f>VLOOKUP(A367,[3]Sheet1!$A:$C,2,FALSE)</f>
        <v>AUTO</v>
      </c>
      <c r="K367" t="str">
        <f>VLOOKUP(A367,[3]Sheet1!$A:$C,3,FALSE)</f>
        <v>ALL</v>
      </c>
    </row>
    <row r="368" spans="1:11" x14ac:dyDescent="0.25">
      <c r="A368" s="2" t="s">
        <v>371</v>
      </c>
      <c r="B368">
        <v>74</v>
      </c>
      <c r="C368" t="s">
        <v>4</v>
      </c>
      <c r="D368" t="str">
        <f>VLOOKUP(A368,[1]Sheet1!$A:$D,2,FALSE)</f>
        <v>SIEMENS</v>
      </c>
      <c r="E368" t="str">
        <f>VLOOKUP(A368,[1]Sheet1!$A:$D,3,FALSE)</f>
        <v>Aera</v>
      </c>
      <c r="F368">
        <f>VLOOKUP(A368,[1]Sheet1!$A:$D,4,FALSE)</f>
        <v>1.5</v>
      </c>
      <c r="G368">
        <f>VLOOKUP(A368,[2]Sheet1!$A:$D,2,FALSE)</f>
        <v>0</v>
      </c>
      <c r="H368">
        <f>VLOOKUP(A368,[2]Sheet1!$A:$D,3,FALSE)</f>
        <v>-1</v>
      </c>
      <c r="I368">
        <f>VLOOKUP(A368,[2]Sheet1!$A:$D,4,FALSE)</f>
        <v>4</v>
      </c>
      <c r="J368" t="str">
        <f>VLOOKUP(A368,[3]Sheet1!$A:$C,2,FALSE)</f>
        <v>OBS1</v>
      </c>
      <c r="K368" t="str">
        <f>VLOOKUP(A368,[3]Sheet1!$A:$C,3,FALSE)</f>
        <v>T2</v>
      </c>
    </row>
    <row r="369" spans="1:11" x14ac:dyDescent="0.25">
      <c r="A369" s="2" t="s">
        <v>372</v>
      </c>
      <c r="B369">
        <v>32</v>
      </c>
      <c r="C369" t="s">
        <v>4</v>
      </c>
      <c r="D369" t="str">
        <f>VLOOKUP(A369,[1]Sheet1!$A:$D,2,FALSE)</f>
        <v>GE MEDICAL SYSTEMS</v>
      </c>
      <c r="E369" t="str">
        <f>VLOOKUP(A369,[1]Sheet1!$A:$D,3,FALSE)</f>
        <v>DISCOVERY MR750</v>
      </c>
      <c r="F369">
        <f>VLOOKUP(A369,[1]Sheet1!$A:$D,4,FALSE)</f>
        <v>3</v>
      </c>
      <c r="G369">
        <f>VLOOKUP(A369,[2]Sheet1!$A:$D,2,FALSE)</f>
        <v>1</v>
      </c>
      <c r="H369">
        <f>VLOOKUP(A369,[2]Sheet1!$A:$D,3,FALSE)</f>
        <v>0</v>
      </c>
      <c r="I369">
        <f>VLOOKUP(A369,[2]Sheet1!$A:$D,4,FALSE)</f>
        <v>3</v>
      </c>
      <c r="J369" t="str">
        <f>VLOOKUP(A369,[3]Sheet1!$A:$C,2,FALSE)</f>
        <v>OBS1</v>
      </c>
      <c r="K369" t="str">
        <f>VLOOKUP(A369,[3]Sheet1!$A:$C,3,FALSE)</f>
        <v>T2</v>
      </c>
    </row>
    <row r="370" spans="1:11" x14ac:dyDescent="0.25">
      <c r="A370" s="2" t="s">
        <v>373</v>
      </c>
      <c r="B370">
        <v>37</v>
      </c>
      <c r="C370" t="s">
        <v>4</v>
      </c>
      <c r="D370" t="str">
        <f>VLOOKUP(A370,[1]Sheet1!$A:$D,2,FALSE)</f>
        <v>Philips Medical Systems</v>
      </c>
      <c r="E370" t="str">
        <f>VLOOKUP(A370,[1]Sheet1!$A:$D,3,FALSE)</f>
        <v>Intera</v>
      </c>
      <c r="F370">
        <f>VLOOKUP(A370,[1]Sheet1!$A:$D,4,FALSE)</f>
        <v>1.5</v>
      </c>
      <c r="G370">
        <f>VLOOKUP(A370,[2]Sheet1!$A:$D,2,FALSE)</f>
        <v>1</v>
      </c>
      <c r="H370">
        <f>VLOOKUP(A370,[2]Sheet1!$A:$D,3,FALSE)</f>
        <v>1</v>
      </c>
      <c r="I370">
        <f>VLOOKUP(A370,[2]Sheet1!$A:$D,4,FALSE)</f>
        <v>3</v>
      </c>
      <c r="J370" t="str">
        <f>VLOOKUP(A370,[3]Sheet1!$A:$C,2,FALSE)</f>
        <v>AUTO</v>
      </c>
      <c r="K370" t="str">
        <f>VLOOKUP(A370,[3]Sheet1!$A:$C,3,FALSE)</f>
        <v>ALL</v>
      </c>
    </row>
    <row r="371" spans="1:11" x14ac:dyDescent="0.25">
      <c r="A371" s="2" t="s">
        <v>374</v>
      </c>
      <c r="B371">
        <v>47</v>
      </c>
      <c r="C371" t="s">
        <v>7</v>
      </c>
      <c r="D371" t="str">
        <f>VLOOKUP(A371,[1]Sheet1!$A:$D,2,FALSE)</f>
        <v>Philips Medical Systems</v>
      </c>
      <c r="E371" t="str">
        <f>VLOOKUP(A371,[1]Sheet1!$A:$D,3,FALSE)</f>
        <v>Intera</v>
      </c>
      <c r="F371">
        <f>VLOOKUP(A371,[1]Sheet1!$A:$D,4,FALSE)</f>
        <v>1</v>
      </c>
      <c r="G371">
        <f>VLOOKUP(A371,[2]Sheet1!$A:$D,2,FALSE)</f>
        <v>0</v>
      </c>
      <c r="H371">
        <f>VLOOKUP(A371,[2]Sheet1!$A:$D,3,FALSE)</f>
        <v>-1</v>
      </c>
      <c r="I371">
        <f>VLOOKUP(A371,[2]Sheet1!$A:$D,4,FALSE)</f>
        <v>4</v>
      </c>
      <c r="J371" t="str">
        <f>VLOOKUP(A371,[3]Sheet1!$A:$C,2,FALSE)</f>
        <v>OBS1</v>
      </c>
      <c r="K371" t="str">
        <f>VLOOKUP(A371,[3]Sheet1!$A:$C,3,FALSE)</f>
        <v>FLAIR</v>
      </c>
    </row>
    <row r="372" spans="1:11" x14ac:dyDescent="0.25">
      <c r="A372" s="2" t="s">
        <v>375</v>
      </c>
      <c r="B372">
        <v>73</v>
      </c>
      <c r="C372" t="s">
        <v>7</v>
      </c>
      <c r="D372" t="str">
        <f>VLOOKUP(A372,[1]Sheet1!$A:$D,2,FALSE)</f>
        <v>Philips Medical Systems</v>
      </c>
      <c r="E372" t="str">
        <f>VLOOKUP(A372,[1]Sheet1!$A:$D,3,FALSE)</f>
        <v>Achieva</v>
      </c>
      <c r="F372">
        <f>VLOOKUP(A372,[1]Sheet1!$A:$D,4,FALSE)</f>
        <v>1.5</v>
      </c>
      <c r="G372">
        <f>VLOOKUP(A372,[2]Sheet1!$A:$D,2,FALSE)</f>
        <v>-1</v>
      </c>
      <c r="H372">
        <f>VLOOKUP(A372,[2]Sheet1!$A:$D,3,FALSE)</f>
        <v>-1</v>
      </c>
      <c r="I372">
        <f>VLOOKUP(A372,[2]Sheet1!$A:$D,4,FALSE)</f>
        <v>4</v>
      </c>
      <c r="J372" t="str">
        <f>VLOOKUP(A372,[3]Sheet1!$A:$C,2,FALSE)</f>
        <v>AUTO</v>
      </c>
      <c r="K372" t="str">
        <f>VLOOKUP(A372,[3]Sheet1!$A:$C,3,FALSE)</f>
        <v>ALL</v>
      </c>
    </row>
    <row r="373" spans="1:11" x14ac:dyDescent="0.25">
      <c r="A373" s="2" t="s">
        <v>376</v>
      </c>
      <c r="B373">
        <v>27</v>
      </c>
      <c r="C373" t="s">
        <v>4</v>
      </c>
      <c r="D373" t="str">
        <f>VLOOKUP(A373,[1]Sheet1!$A:$D,2,FALSE)</f>
        <v>GE MEDICAL SYSTEMS</v>
      </c>
      <c r="E373" t="str">
        <f>VLOOKUP(A373,[1]Sheet1!$A:$D,3,FALSE)</f>
        <v>DISCOVERY MR450</v>
      </c>
      <c r="F373">
        <f>VLOOKUP(A373,[1]Sheet1!$A:$D,4,FALSE)</f>
        <v>1.5</v>
      </c>
      <c r="G373">
        <f>VLOOKUP(A373,[2]Sheet1!$A:$D,2,FALSE)</f>
        <v>-1</v>
      </c>
      <c r="H373">
        <f>VLOOKUP(A373,[2]Sheet1!$A:$D,3,FALSE)</f>
        <v>0</v>
      </c>
      <c r="I373">
        <f>VLOOKUP(A373,[2]Sheet1!$A:$D,4,FALSE)</f>
        <v>3</v>
      </c>
      <c r="J373" t="str">
        <f>VLOOKUP(A373,[3]Sheet1!$A:$C,2,FALSE)</f>
        <v>AUTO</v>
      </c>
      <c r="K373" t="str">
        <f>VLOOKUP(A373,[3]Sheet1!$A:$C,3,FALSE)</f>
        <v>ALL</v>
      </c>
    </row>
    <row r="374" spans="1:11" x14ac:dyDescent="0.25">
      <c r="A374" s="2" t="s">
        <v>377</v>
      </c>
      <c r="B374">
        <v>59</v>
      </c>
      <c r="C374" t="s">
        <v>4</v>
      </c>
      <c r="D374" t="str">
        <f>VLOOKUP(A374,[1]Sheet1!$A:$D,2,FALSE)</f>
        <v>SIEMENS</v>
      </c>
      <c r="E374" t="str">
        <f>VLOOKUP(A374,[1]Sheet1!$A:$D,3,FALSE)</f>
        <v>MAGNETOM EXPERT</v>
      </c>
      <c r="F374">
        <f>VLOOKUP(A374,[1]Sheet1!$A:$D,4,FALSE)</f>
        <v>1</v>
      </c>
      <c r="G374">
        <f>VLOOKUP(A374,[2]Sheet1!$A:$D,2,FALSE)</f>
        <v>-1</v>
      </c>
      <c r="H374">
        <f>VLOOKUP(A374,[2]Sheet1!$A:$D,3,FALSE)</f>
        <v>0</v>
      </c>
      <c r="I374">
        <f>VLOOKUP(A374,[2]Sheet1!$A:$D,4,FALSE)</f>
        <v>-1</v>
      </c>
      <c r="J374" t="str">
        <f>VLOOKUP(A374,[3]Sheet1!$A:$C,2,FALSE)</f>
        <v>AUTO</v>
      </c>
      <c r="K374" t="str">
        <f>VLOOKUP(A374,[3]Sheet1!$A:$C,3,FALSE)</f>
        <v>ALL</v>
      </c>
    </row>
    <row r="375" spans="1:11" x14ac:dyDescent="0.25">
      <c r="A375" s="2" t="s">
        <v>378</v>
      </c>
      <c r="B375">
        <v>62</v>
      </c>
      <c r="C375" t="s">
        <v>7</v>
      </c>
      <c r="D375" t="str">
        <f>VLOOKUP(A375,[1]Sheet1!$A:$D,2,FALSE)</f>
        <v>Philips Medical Systems</v>
      </c>
      <c r="E375" t="str">
        <f>VLOOKUP(A375,[1]Sheet1!$A:$D,3,FALSE)</f>
        <v>Achieva</v>
      </c>
      <c r="F375">
        <f>VLOOKUP(A375,[1]Sheet1!$A:$D,4,FALSE)</f>
        <v>1.5</v>
      </c>
      <c r="G375">
        <f>VLOOKUP(A375,[2]Sheet1!$A:$D,2,FALSE)</f>
        <v>-1</v>
      </c>
      <c r="H375">
        <f>VLOOKUP(A375,[2]Sheet1!$A:$D,3,FALSE)</f>
        <v>-1</v>
      </c>
      <c r="I375">
        <f>VLOOKUP(A375,[2]Sheet1!$A:$D,4,FALSE)</f>
        <v>4</v>
      </c>
      <c r="J375" t="str">
        <f>VLOOKUP(A375,[3]Sheet1!$A:$C,2,FALSE)</f>
        <v>AUTO</v>
      </c>
      <c r="K375" t="str">
        <f>VLOOKUP(A375,[3]Sheet1!$A:$C,3,FALSE)</f>
        <v>ALL</v>
      </c>
    </row>
    <row r="376" spans="1:11" x14ac:dyDescent="0.25">
      <c r="A376" s="2" t="s">
        <v>379</v>
      </c>
      <c r="B376">
        <v>67</v>
      </c>
      <c r="C376" t="s">
        <v>4</v>
      </c>
      <c r="D376" t="str">
        <f>VLOOKUP(A376,[1]Sheet1!$A:$D,2,FALSE)</f>
        <v>Philips Medical Systems</v>
      </c>
      <c r="E376" t="str">
        <f>VLOOKUP(A376,[1]Sheet1!$A:$D,3,FALSE)</f>
        <v>Intera</v>
      </c>
      <c r="F376">
        <f>VLOOKUP(A376,[1]Sheet1!$A:$D,4,FALSE)</f>
        <v>1.5</v>
      </c>
      <c r="G376">
        <f>VLOOKUP(A376,[2]Sheet1!$A:$D,2,FALSE)</f>
        <v>0</v>
      </c>
      <c r="H376">
        <f>VLOOKUP(A376,[2]Sheet1!$A:$D,3,FALSE)</f>
        <v>-1</v>
      </c>
      <c r="I376">
        <f>VLOOKUP(A376,[2]Sheet1!$A:$D,4,FALSE)</f>
        <v>4</v>
      </c>
      <c r="J376" t="str">
        <f>VLOOKUP(A376,[3]Sheet1!$A:$C,2,FALSE)</f>
        <v>OBS1</v>
      </c>
      <c r="K376" t="str">
        <f>VLOOKUP(A376,[3]Sheet1!$A:$C,3,FALSE)</f>
        <v>T2</v>
      </c>
    </row>
    <row r="377" spans="1:11" x14ac:dyDescent="0.25">
      <c r="A377" s="2" t="s">
        <v>380</v>
      </c>
      <c r="B377">
        <v>66</v>
      </c>
      <c r="C377" t="s">
        <v>4</v>
      </c>
      <c r="D377" t="str">
        <f>VLOOKUP(A377,[1]Sheet1!$A:$D,2,FALSE)</f>
        <v>SIEMENS</v>
      </c>
      <c r="E377" t="str">
        <f>VLOOKUP(A377,[1]Sheet1!$A:$D,3,FALSE)</f>
        <v>Aera</v>
      </c>
      <c r="F377">
        <f>VLOOKUP(A377,[1]Sheet1!$A:$D,4,FALSE)</f>
        <v>1.5</v>
      </c>
      <c r="G377">
        <f>VLOOKUP(A377,[2]Sheet1!$A:$D,2,FALSE)</f>
        <v>0</v>
      </c>
      <c r="H377">
        <f>VLOOKUP(A377,[2]Sheet1!$A:$D,3,FALSE)</f>
        <v>-1</v>
      </c>
      <c r="I377">
        <f>VLOOKUP(A377,[2]Sheet1!$A:$D,4,FALSE)</f>
        <v>4</v>
      </c>
      <c r="J377" t="str">
        <f>VLOOKUP(A377,[3]Sheet1!$A:$C,2,FALSE)</f>
        <v>AUTO</v>
      </c>
      <c r="K377" t="str">
        <f>VLOOKUP(A377,[3]Sheet1!$A:$C,3,FALSE)</f>
        <v>ALL</v>
      </c>
    </row>
    <row r="378" spans="1:11" x14ac:dyDescent="0.25">
      <c r="A378" s="2" t="s">
        <v>381</v>
      </c>
      <c r="B378">
        <v>39</v>
      </c>
      <c r="C378" t="s">
        <v>4</v>
      </c>
      <c r="D378" t="str">
        <f>VLOOKUP(A378,[1]Sheet1!$A:$D,2,FALSE)</f>
        <v>Philips Medical Systems</v>
      </c>
      <c r="E378" t="str">
        <f>VLOOKUP(A378,[1]Sheet1!$A:$D,3,FALSE)</f>
        <v>Intera</v>
      </c>
      <c r="F378">
        <f>VLOOKUP(A378,[1]Sheet1!$A:$D,4,FALSE)</f>
        <v>1.5</v>
      </c>
      <c r="G378">
        <f>VLOOKUP(A378,[2]Sheet1!$A:$D,2,FALSE)</f>
        <v>1</v>
      </c>
      <c r="H378">
        <f>VLOOKUP(A378,[2]Sheet1!$A:$D,3,FALSE)</f>
        <v>0</v>
      </c>
      <c r="I378">
        <f>VLOOKUP(A378,[2]Sheet1!$A:$D,4,FALSE)</f>
        <v>2</v>
      </c>
      <c r="J378" t="str">
        <f>VLOOKUP(A378,[3]Sheet1!$A:$C,2,FALSE)</f>
        <v>OBS1</v>
      </c>
      <c r="K378" t="str">
        <f>VLOOKUP(A378,[3]Sheet1!$A:$C,3,FALSE)</f>
        <v>FLAIR</v>
      </c>
    </row>
    <row r="379" spans="1:11" x14ac:dyDescent="0.25">
      <c r="A379" s="2" t="s">
        <v>382</v>
      </c>
      <c r="B379">
        <v>28</v>
      </c>
      <c r="C379" t="s">
        <v>4</v>
      </c>
      <c r="D379" t="str">
        <f>VLOOKUP(A379,[1]Sheet1!$A:$D,2,FALSE)</f>
        <v>GE MEDICAL SYSTEMS</v>
      </c>
      <c r="E379" t="str">
        <f>VLOOKUP(A379,[1]Sheet1!$A:$D,3,FALSE)</f>
        <v>Signa HDxt</v>
      </c>
      <c r="F379">
        <f>VLOOKUP(A379,[1]Sheet1!$A:$D,4,FALSE)</f>
        <v>1.5</v>
      </c>
      <c r="G379">
        <f>VLOOKUP(A379,[2]Sheet1!$A:$D,2,FALSE)</f>
        <v>1</v>
      </c>
      <c r="H379">
        <f>VLOOKUP(A379,[2]Sheet1!$A:$D,3,FALSE)</f>
        <v>0</v>
      </c>
      <c r="I379">
        <f>VLOOKUP(A379,[2]Sheet1!$A:$D,4,FALSE)</f>
        <v>2</v>
      </c>
      <c r="J379" t="str">
        <f>VLOOKUP(A379,[3]Sheet1!$A:$C,2,FALSE)</f>
        <v>OBS2</v>
      </c>
      <c r="K379" t="str">
        <f>VLOOKUP(A379,[3]Sheet1!$A:$C,3,FALSE)</f>
        <v>FLAIR</v>
      </c>
    </row>
    <row r="380" spans="1:11" x14ac:dyDescent="0.25">
      <c r="A380" s="2" t="s">
        <v>383</v>
      </c>
      <c r="B380">
        <v>65</v>
      </c>
      <c r="C380" t="s">
        <v>4</v>
      </c>
      <c r="D380" t="str">
        <f>VLOOKUP(A380,[1]Sheet1!$A:$D,2,FALSE)</f>
        <v>SIEMENS</v>
      </c>
      <c r="E380" t="str">
        <f>VLOOKUP(A380,[1]Sheet1!$A:$D,3,FALSE)</f>
        <v>TrioTim</v>
      </c>
      <c r="F380">
        <f>VLOOKUP(A380,[1]Sheet1!$A:$D,4,FALSE)</f>
        <v>3</v>
      </c>
      <c r="G380">
        <f>VLOOKUP(A380,[2]Sheet1!$A:$D,2,FALSE)</f>
        <v>-1</v>
      </c>
      <c r="H380">
        <f>VLOOKUP(A380,[2]Sheet1!$A:$D,3,FALSE)</f>
        <v>-1</v>
      </c>
      <c r="I380">
        <f>VLOOKUP(A380,[2]Sheet1!$A:$D,4,FALSE)</f>
        <v>3</v>
      </c>
      <c r="J380" t="str">
        <f>VLOOKUP(A380,[3]Sheet1!$A:$C,2,FALSE)</f>
        <v>AUTO</v>
      </c>
      <c r="K380" t="str">
        <f>VLOOKUP(A380,[3]Sheet1!$A:$C,3,FALSE)</f>
        <v>ALL</v>
      </c>
    </row>
    <row r="381" spans="1:11" x14ac:dyDescent="0.25">
      <c r="A381" s="2" t="s">
        <v>384</v>
      </c>
      <c r="B381">
        <v>62</v>
      </c>
      <c r="C381" t="s">
        <v>4</v>
      </c>
      <c r="D381" t="str">
        <f>VLOOKUP(A381,[1]Sheet1!$A:$D,2,FALSE)</f>
        <v>GE MEDICAL SYSTEMS</v>
      </c>
      <c r="E381" t="str">
        <f>VLOOKUP(A381,[1]Sheet1!$A:$D,3,FALSE)</f>
        <v>DISCOVERY MR750</v>
      </c>
      <c r="F381">
        <f>VLOOKUP(A381,[1]Sheet1!$A:$D,4,FALSE)</f>
        <v>3</v>
      </c>
      <c r="G381">
        <f>VLOOKUP(A381,[2]Sheet1!$A:$D,2,FALSE)</f>
        <v>0</v>
      </c>
      <c r="H381">
        <f>VLOOKUP(A381,[2]Sheet1!$A:$D,3,FALSE)</f>
        <v>-1</v>
      </c>
      <c r="I381">
        <f>VLOOKUP(A381,[2]Sheet1!$A:$D,4,FALSE)</f>
        <v>4</v>
      </c>
      <c r="J381" t="str">
        <f>VLOOKUP(A381,[3]Sheet1!$A:$C,2,FALSE)</f>
        <v>OBS1</v>
      </c>
      <c r="K381" t="str">
        <f>VLOOKUP(A381,[3]Sheet1!$A:$C,3,FALSE)</f>
        <v>T2</v>
      </c>
    </row>
    <row r="382" spans="1:11" x14ac:dyDescent="0.25">
      <c r="A382" s="2" t="s">
        <v>385</v>
      </c>
      <c r="B382">
        <v>79</v>
      </c>
      <c r="C382" t="s">
        <v>4</v>
      </c>
      <c r="D382" t="str">
        <f>VLOOKUP(A382,[1]Sheet1!$A:$D,2,FALSE)</f>
        <v>Philips Medical Systems</v>
      </c>
      <c r="E382" t="str">
        <f>VLOOKUP(A382,[1]Sheet1!$A:$D,3,FALSE)</f>
        <v>Achieva</v>
      </c>
      <c r="F382">
        <f>VLOOKUP(A382,[1]Sheet1!$A:$D,4,FALSE)</f>
        <v>1.5</v>
      </c>
      <c r="G382">
        <f>VLOOKUP(A382,[2]Sheet1!$A:$D,2,FALSE)</f>
        <v>0</v>
      </c>
      <c r="H382">
        <f>VLOOKUP(A382,[2]Sheet1!$A:$D,3,FALSE)</f>
        <v>-1</v>
      </c>
      <c r="I382">
        <f>VLOOKUP(A382,[2]Sheet1!$A:$D,4,FALSE)</f>
        <v>4</v>
      </c>
      <c r="J382" t="str">
        <f>VLOOKUP(A382,[3]Sheet1!$A:$C,2,FALSE)</f>
        <v>OBS1</v>
      </c>
      <c r="K382" t="str">
        <f>VLOOKUP(A382,[3]Sheet1!$A:$C,3,FALSE)</f>
        <v>T2</v>
      </c>
    </row>
    <row r="383" spans="1:11" x14ac:dyDescent="0.25">
      <c r="A383" s="2" t="s">
        <v>386</v>
      </c>
      <c r="B383">
        <v>44</v>
      </c>
      <c r="C383" t="s">
        <v>7</v>
      </c>
      <c r="D383" t="str">
        <f>VLOOKUP(A383,[1]Sheet1!$A:$D,2,FALSE)</f>
        <v>SIEMENS</v>
      </c>
      <c r="E383" t="str">
        <f>VLOOKUP(A383,[1]Sheet1!$A:$D,3,FALSE)</f>
        <v>Symphony</v>
      </c>
      <c r="F383">
        <f>VLOOKUP(A383,[1]Sheet1!$A:$D,4,FALSE)</f>
        <v>1.5</v>
      </c>
      <c r="G383">
        <f>VLOOKUP(A383,[2]Sheet1!$A:$D,2,FALSE)</f>
        <v>0</v>
      </c>
      <c r="H383">
        <f>VLOOKUP(A383,[2]Sheet1!$A:$D,3,FALSE)</f>
        <v>0</v>
      </c>
      <c r="I383">
        <f>VLOOKUP(A383,[2]Sheet1!$A:$D,4,FALSE)</f>
        <v>2</v>
      </c>
      <c r="J383" t="str">
        <f>VLOOKUP(A383,[3]Sheet1!$A:$C,2,FALSE)</f>
        <v>OBS1</v>
      </c>
      <c r="K383" t="str">
        <f>VLOOKUP(A383,[3]Sheet1!$A:$C,3,FALSE)</f>
        <v>T2</v>
      </c>
    </row>
    <row r="384" spans="1:11" x14ac:dyDescent="0.25">
      <c r="A384" s="2" t="s">
        <v>387</v>
      </c>
      <c r="B384">
        <v>69</v>
      </c>
      <c r="C384" t="s">
        <v>4</v>
      </c>
      <c r="D384" t="str">
        <f>VLOOKUP(A384,[1]Sheet1!$A:$D,2,FALSE)</f>
        <v>SIEMENS</v>
      </c>
      <c r="E384" t="str">
        <f>VLOOKUP(A384,[1]Sheet1!$A:$D,3,FALSE)</f>
        <v>Avanto</v>
      </c>
      <c r="F384">
        <f>VLOOKUP(A384,[1]Sheet1!$A:$D,4,FALSE)</f>
        <v>1.5</v>
      </c>
      <c r="G384">
        <f>VLOOKUP(A384,[2]Sheet1!$A:$D,2,FALSE)</f>
        <v>0</v>
      </c>
      <c r="H384">
        <f>VLOOKUP(A384,[2]Sheet1!$A:$D,3,FALSE)</f>
        <v>-1</v>
      </c>
      <c r="I384">
        <f>VLOOKUP(A384,[2]Sheet1!$A:$D,4,FALSE)</f>
        <v>4</v>
      </c>
      <c r="J384" t="str">
        <f>VLOOKUP(A384,[3]Sheet1!$A:$C,2,FALSE)</f>
        <v>OBS1</v>
      </c>
      <c r="K384" t="str">
        <f>VLOOKUP(A384,[3]Sheet1!$A:$C,3,FALSE)</f>
        <v>T2</v>
      </c>
    </row>
    <row r="385" spans="1:11" x14ac:dyDescent="0.25">
      <c r="A385" s="2" t="s">
        <v>388</v>
      </c>
      <c r="B385">
        <v>48</v>
      </c>
      <c r="C385" t="s">
        <v>4</v>
      </c>
      <c r="D385" t="str">
        <f>VLOOKUP(A385,[1]Sheet1!$A:$D,2,FALSE)</f>
        <v>Philips Medical Systems</v>
      </c>
      <c r="E385" t="str">
        <f>VLOOKUP(A385,[1]Sheet1!$A:$D,3,FALSE)</f>
        <v>Ingenia</v>
      </c>
      <c r="F385">
        <f>VLOOKUP(A385,[1]Sheet1!$A:$D,4,FALSE)</f>
        <v>3</v>
      </c>
      <c r="G385">
        <f>VLOOKUP(A385,[2]Sheet1!$A:$D,2,FALSE)</f>
        <v>-1</v>
      </c>
      <c r="H385">
        <f>VLOOKUP(A385,[2]Sheet1!$A:$D,3,FALSE)</f>
        <v>-1</v>
      </c>
      <c r="I385">
        <f>VLOOKUP(A385,[2]Sheet1!$A:$D,4,FALSE)</f>
        <v>3</v>
      </c>
      <c r="J385" t="str">
        <f>VLOOKUP(A385,[3]Sheet1!$A:$C,2,FALSE)</f>
        <v>AUTO</v>
      </c>
      <c r="K385" t="str">
        <f>VLOOKUP(A385,[3]Sheet1!$A:$C,3,FALSE)</f>
        <v>ALL</v>
      </c>
    </row>
    <row r="386" spans="1:11" x14ac:dyDescent="0.25">
      <c r="A386" s="2" t="s">
        <v>389</v>
      </c>
      <c r="B386">
        <v>28</v>
      </c>
      <c r="C386" t="s">
        <v>4</v>
      </c>
      <c r="D386" t="str">
        <f>VLOOKUP(A386,[1]Sheet1!$A:$D,2,FALSE)</f>
        <v>SIEMENS</v>
      </c>
      <c r="E386" t="str">
        <f>VLOOKUP(A386,[1]Sheet1!$A:$D,3,FALSE)</f>
        <v>Skyra</v>
      </c>
      <c r="F386">
        <f>VLOOKUP(A386,[1]Sheet1!$A:$D,4,FALSE)</f>
        <v>3</v>
      </c>
      <c r="G386">
        <f>VLOOKUP(A386,[2]Sheet1!$A:$D,2,FALSE)</f>
        <v>1</v>
      </c>
      <c r="H386">
        <f>VLOOKUP(A386,[2]Sheet1!$A:$D,3,FALSE)</f>
        <v>0</v>
      </c>
      <c r="I386">
        <f>VLOOKUP(A386,[2]Sheet1!$A:$D,4,FALSE)</f>
        <v>2</v>
      </c>
      <c r="J386" t="str">
        <f>VLOOKUP(A386,[3]Sheet1!$A:$C,2,FALSE)</f>
        <v>OBS2</v>
      </c>
      <c r="K386" t="str">
        <f>VLOOKUP(A386,[3]Sheet1!$A:$C,3,FALSE)</f>
        <v>FLAIR</v>
      </c>
    </row>
    <row r="387" spans="1:11" x14ac:dyDescent="0.25">
      <c r="A387" s="2" t="s">
        <v>390</v>
      </c>
      <c r="B387">
        <v>72</v>
      </c>
      <c r="C387" t="s">
        <v>7</v>
      </c>
      <c r="D387" t="str">
        <f>VLOOKUP(A387,[1]Sheet1!$A:$D,2,FALSE)</f>
        <v>SIEMENS</v>
      </c>
      <c r="E387" t="str">
        <f>VLOOKUP(A387,[1]Sheet1!$A:$D,3,FALSE)</f>
        <v>MAGNETOM_ESSENZA</v>
      </c>
      <c r="F387">
        <f>VLOOKUP(A387,[1]Sheet1!$A:$D,4,FALSE)</f>
        <v>1.5</v>
      </c>
      <c r="G387">
        <f>VLOOKUP(A387,[2]Sheet1!$A:$D,2,FALSE)</f>
        <v>-1</v>
      </c>
      <c r="H387">
        <f>VLOOKUP(A387,[2]Sheet1!$A:$D,3,FALSE)</f>
        <v>-1</v>
      </c>
      <c r="I387">
        <f>VLOOKUP(A387,[2]Sheet1!$A:$D,4,FALSE)</f>
        <v>4</v>
      </c>
      <c r="J387" t="str">
        <f>VLOOKUP(A387,[3]Sheet1!$A:$C,2,FALSE)</f>
        <v>AUTO</v>
      </c>
      <c r="K387" t="str">
        <f>VLOOKUP(A387,[3]Sheet1!$A:$C,3,FALSE)</f>
        <v>ALL</v>
      </c>
    </row>
    <row r="388" spans="1:11" x14ac:dyDescent="0.25">
      <c r="A388" s="2" t="s">
        <v>391</v>
      </c>
      <c r="B388">
        <v>30</v>
      </c>
      <c r="C388" t="s">
        <v>7</v>
      </c>
      <c r="D388" t="str">
        <f>VLOOKUP(A388,[1]Sheet1!$A:$D,2,FALSE)</f>
        <v>Philips Medical Systems</v>
      </c>
      <c r="E388" t="str">
        <f>VLOOKUP(A388,[1]Sheet1!$A:$D,3,FALSE)</f>
        <v>Intera</v>
      </c>
      <c r="F388">
        <f>VLOOKUP(A388,[1]Sheet1!$A:$D,4,FALSE)</f>
        <v>1.5</v>
      </c>
      <c r="G388">
        <f>VLOOKUP(A388,[2]Sheet1!$A:$D,2,FALSE)</f>
        <v>1</v>
      </c>
      <c r="H388">
        <f>VLOOKUP(A388,[2]Sheet1!$A:$D,3,FALSE)</f>
        <v>0</v>
      </c>
      <c r="I388">
        <f>VLOOKUP(A388,[2]Sheet1!$A:$D,4,FALSE)</f>
        <v>2</v>
      </c>
      <c r="J388" t="str">
        <f>VLOOKUP(A388,[3]Sheet1!$A:$C,2,FALSE)</f>
        <v>OBS2</v>
      </c>
      <c r="K388" t="str">
        <f>VLOOKUP(A388,[3]Sheet1!$A:$C,3,FALSE)</f>
        <v>FLAIR</v>
      </c>
    </row>
    <row r="389" spans="1:11" x14ac:dyDescent="0.25">
      <c r="A389" s="2" t="s">
        <v>392</v>
      </c>
      <c r="B389">
        <v>72</v>
      </c>
      <c r="C389" t="s">
        <v>4</v>
      </c>
      <c r="D389" t="str">
        <f>VLOOKUP(A389,[1]Sheet1!$A:$D,2,FALSE)</f>
        <v>Philips Medical Systems</v>
      </c>
      <c r="E389" t="str">
        <f>VLOOKUP(A389,[1]Sheet1!$A:$D,3,FALSE)</f>
        <v>Intera</v>
      </c>
      <c r="F389">
        <f>VLOOKUP(A389,[1]Sheet1!$A:$D,4,FALSE)</f>
        <v>1.5</v>
      </c>
      <c r="G389">
        <f>VLOOKUP(A389,[2]Sheet1!$A:$D,2,FALSE)</f>
        <v>0</v>
      </c>
      <c r="H389">
        <f>VLOOKUP(A389,[2]Sheet1!$A:$D,3,FALSE)</f>
        <v>-1</v>
      </c>
      <c r="I389">
        <f>VLOOKUP(A389,[2]Sheet1!$A:$D,4,FALSE)</f>
        <v>4</v>
      </c>
      <c r="J389" t="str">
        <f>VLOOKUP(A389,[3]Sheet1!$A:$C,2,FALSE)</f>
        <v>OBS1</v>
      </c>
      <c r="K389" t="str">
        <f>VLOOKUP(A389,[3]Sheet1!$A:$C,3,FALSE)</f>
        <v>T2</v>
      </c>
    </row>
    <row r="390" spans="1:11" x14ac:dyDescent="0.25">
      <c r="A390" s="2" t="s">
        <v>393</v>
      </c>
      <c r="B390">
        <v>54</v>
      </c>
      <c r="C390" t="s">
        <v>7</v>
      </c>
      <c r="D390" t="str">
        <f>VLOOKUP(A390,[1]Sheet1!$A:$D,2,FALSE)</f>
        <v>SIEMENS</v>
      </c>
      <c r="E390" t="str">
        <f>VLOOKUP(A390,[1]Sheet1!$A:$D,3,FALSE)</f>
        <v>MAGNETOM_ESSENZA</v>
      </c>
      <c r="F390">
        <f>VLOOKUP(A390,[1]Sheet1!$A:$D,4,FALSE)</f>
        <v>1.5</v>
      </c>
      <c r="G390">
        <f>VLOOKUP(A390,[2]Sheet1!$A:$D,2,FALSE)</f>
        <v>0</v>
      </c>
      <c r="H390">
        <f>VLOOKUP(A390,[2]Sheet1!$A:$D,3,FALSE)</f>
        <v>0</v>
      </c>
      <c r="I390">
        <f>VLOOKUP(A390,[2]Sheet1!$A:$D,4,FALSE)</f>
        <v>4</v>
      </c>
      <c r="J390" t="str">
        <f>VLOOKUP(A390,[3]Sheet1!$A:$C,2,FALSE)</f>
        <v>OBS1</v>
      </c>
      <c r="K390" t="str">
        <f>VLOOKUP(A390,[3]Sheet1!$A:$C,3,FALSE)</f>
        <v>T2</v>
      </c>
    </row>
    <row r="391" spans="1:11" x14ac:dyDescent="0.25">
      <c r="A391" s="2" t="s">
        <v>394</v>
      </c>
      <c r="B391">
        <v>49</v>
      </c>
      <c r="C391" t="s">
        <v>4</v>
      </c>
      <c r="D391" t="str">
        <f>VLOOKUP(A391,[1]Sheet1!$A:$D,2,FALSE)</f>
        <v>Philips Medical Systems</v>
      </c>
      <c r="E391" t="str">
        <f>VLOOKUP(A391,[1]Sheet1!$A:$D,3,FALSE)</f>
        <v>Achieva dStream</v>
      </c>
      <c r="F391">
        <f>VLOOKUP(A391,[1]Sheet1!$A:$D,4,FALSE)</f>
        <v>1.5</v>
      </c>
      <c r="G391">
        <f>VLOOKUP(A391,[2]Sheet1!$A:$D,2,FALSE)</f>
        <v>0</v>
      </c>
      <c r="H391">
        <f>VLOOKUP(A391,[2]Sheet1!$A:$D,3,FALSE)</f>
        <v>0</v>
      </c>
      <c r="I391">
        <f>VLOOKUP(A391,[2]Sheet1!$A:$D,4,FALSE)</f>
        <v>4</v>
      </c>
      <c r="J391" t="str">
        <f>VLOOKUP(A391,[3]Sheet1!$A:$C,2,FALSE)</f>
        <v>AUTO</v>
      </c>
      <c r="K391" t="str">
        <f>VLOOKUP(A391,[3]Sheet1!$A:$C,3,FALSE)</f>
        <v>ALL</v>
      </c>
    </row>
    <row r="392" spans="1:11" x14ac:dyDescent="0.25">
      <c r="A392" s="2" t="s">
        <v>395</v>
      </c>
      <c r="B392">
        <v>74</v>
      </c>
      <c r="C392" t="s">
        <v>7</v>
      </c>
      <c r="D392" t="str">
        <f>VLOOKUP(A392,[1]Sheet1!$A:$D,2,FALSE)</f>
        <v>Philips Medical Systems</v>
      </c>
      <c r="E392" t="str">
        <f>VLOOKUP(A392,[1]Sheet1!$A:$D,3,FALSE)</f>
        <v>Achieva</v>
      </c>
      <c r="F392">
        <f>VLOOKUP(A392,[1]Sheet1!$A:$D,4,FALSE)</f>
        <v>1.5</v>
      </c>
      <c r="G392">
        <f>VLOOKUP(A392,[2]Sheet1!$A:$D,2,FALSE)</f>
        <v>0</v>
      </c>
      <c r="H392">
        <f>VLOOKUP(A392,[2]Sheet1!$A:$D,3,FALSE)</f>
        <v>-1</v>
      </c>
      <c r="I392">
        <f>VLOOKUP(A392,[2]Sheet1!$A:$D,4,FALSE)</f>
        <v>4</v>
      </c>
      <c r="J392" t="str">
        <f>VLOOKUP(A392,[3]Sheet1!$A:$C,2,FALSE)</f>
        <v>OBS1</v>
      </c>
      <c r="K392" t="str">
        <f>VLOOKUP(A392,[3]Sheet1!$A:$C,3,FALSE)</f>
        <v>T2</v>
      </c>
    </row>
    <row r="393" spans="1:11" x14ac:dyDescent="0.25">
      <c r="A393" s="2" t="s">
        <v>396</v>
      </c>
      <c r="B393">
        <v>68</v>
      </c>
      <c r="C393" t="s">
        <v>7</v>
      </c>
      <c r="D393" t="str">
        <f>VLOOKUP(A393,[1]Sheet1!$A:$D,2,FALSE)</f>
        <v>SIEMENS</v>
      </c>
      <c r="E393" t="str">
        <f>VLOOKUP(A393,[1]Sheet1!$A:$D,3,FALSE)</f>
        <v>Avanto</v>
      </c>
      <c r="F393">
        <f>VLOOKUP(A393,[1]Sheet1!$A:$D,4,FALSE)</f>
        <v>1.5</v>
      </c>
      <c r="G393">
        <f>VLOOKUP(A393,[2]Sheet1!$A:$D,2,FALSE)</f>
        <v>0</v>
      </c>
      <c r="H393">
        <f>VLOOKUP(A393,[2]Sheet1!$A:$D,3,FALSE)</f>
        <v>-1</v>
      </c>
      <c r="I393">
        <f>VLOOKUP(A393,[2]Sheet1!$A:$D,4,FALSE)</f>
        <v>4</v>
      </c>
      <c r="J393" t="str">
        <f>VLOOKUP(A393,[3]Sheet1!$A:$C,2,FALSE)</f>
        <v>OBS1</v>
      </c>
      <c r="K393" t="str">
        <f>VLOOKUP(A393,[3]Sheet1!$A:$C,3,FALSE)</f>
        <v>T2</v>
      </c>
    </row>
    <row r="394" spans="1:11" x14ac:dyDescent="0.25">
      <c r="A394" s="2" t="s">
        <v>397</v>
      </c>
      <c r="B394">
        <v>56</v>
      </c>
      <c r="C394" t="s">
        <v>4</v>
      </c>
      <c r="D394" t="str">
        <f>VLOOKUP(A394,[1]Sheet1!$A:$D,2,FALSE)</f>
        <v>Philips Medical Systems</v>
      </c>
      <c r="E394" t="str">
        <f>VLOOKUP(A394,[1]Sheet1!$A:$D,3,FALSE)</f>
        <v>Achieva</v>
      </c>
      <c r="F394">
        <f>VLOOKUP(A394,[1]Sheet1!$A:$D,4,FALSE)</f>
        <v>3</v>
      </c>
      <c r="G394">
        <f>VLOOKUP(A394,[2]Sheet1!$A:$D,2,FALSE)</f>
        <v>-1</v>
      </c>
      <c r="H394">
        <f>VLOOKUP(A394,[2]Sheet1!$A:$D,3,FALSE)</f>
        <v>-1</v>
      </c>
      <c r="I394">
        <f>VLOOKUP(A394,[2]Sheet1!$A:$D,4,FALSE)</f>
        <v>4</v>
      </c>
      <c r="J394" t="str">
        <f>VLOOKUP(A394,[3]Sheet1!$A:$C,2,FALSE)</f>
        <v>AUTO</v>
      </c>
      <c r="K394" t="str">
        <f>VLOOKUP(A394,[3]Sheet1!$A:$C,3,FALSE)</f>
        <v>ALL</v>
      </c>
    </row>
    <row r="395" spans="1:11" x14ac:dyDescent="0.25">
      <c r="A395" s="2" t="s">
        <v>398</v>
      </c>
      <c r="B395">
        <v>75</v>
      </c>
      <c r="C395" t="s">
        <v>4</v>
      </c>
      <c r="D395" t="str">
        <f>VLOOKUP(A395,[1]Sheet1!$A:$D,2,FALSE)</f>
        <v>GE MEDICAL SYSTEMS</v>
      </c>
      <c r="E395" t="str">
        <f>VLOOKUP(A395,[1]Sheet1!$A:$D,3,FALSE)</f>
        <v>DISCOVERY MR450</v>
      </c>
      <c r="F395">
        <f>VLOOKUP(A395,[1]Sheet1!$A:$D,4,FALSE)</f>
        <v>1.5</v>
      </c>
      <c r="G395">
        <f>VLOOKUP(A395,[2]Sheet1!$A:$D,2,FALSE)</f>
        <v>0</v>
      </c>
      <c r="H395">
        <f>VLOOKUP(A395,[2]Sheet1!$A:$D,3,FALSE)</f>
        <v>0</v>
      </c>
      <c r="I395">
        <f>VLOOKUP(A395,[2]Sheet1!$A:$D,4,FALSE)</f>
        <v>4</v>
      </c>
      <c r="J395" t="str">
        <f>VLOOKUP(A395,[3]Sheet1!$A:$C,2,FALSE)</f>
        <v>OBS1</v>
      </c>
      <c r="K395" t="str">
        <f>VLOOKUP(A395,[3]Sheet1!$A:$C,3,FALSE)</f>
        <v>T2</v>
      </c>
    </row>
    <row r="396" spans="1:11" x14ac:dyDescent="0.25">
      <c r="A396" s="2" t="s">
        <v>399</v>
      </c>
      <c r="B396">
        <v>70</v>
      </c>
      <c r="C396" t="s">
        <v>7</v>
      </c>
      <c r="D396" t="str">
        <f>VLOOKUP(A396,[1]Sheet1!$A:$D,2,FALSE)</f>
        <v>Philips Medical Systems</v>
      </c>
      <c r="E396" t="str">
        <f>VLOOKUP(A396,[1]Sheet1!$A:$D,3,FALSE)</f>
        <v>Achieva</v>
      </c>
      <c r="F396">
        <f>VLOOKUP(A396,[1]Sheet1!$A:$D,4,FALSE)</f>
        <v>1.5</v>
      </c>
      <c r="G396">
        <f>VLOOKUP(A396,[2]Sheet1!$A:$D,2,FALSE)</f>
        <v>0</v>
      </c>
      <c r="H396">
        <f>VLOOKUP(A396,[2]Sheet1!$A:$D,3,FALSE)</f>
        <v>-1</v>
      </c>
      <c r="I396">
        <f>VLOOKUP(A396,[2]Sheet1!$A:$D,4,FALSE)</f>
        <v>4</v>
      </c>
      <c r="J396" t="str">
        <f>VLOOKUP(A396,[3]Sheet1!$A:$C,2,FALSE)</f>
        <v>OBS1</v>
      </c>
      <c r="K396" t="str">
        <f>VLOOKUP(A396,[3]Sheet1!$A:$C,3,FALSE)</f>
        <v>T2</v>
      </c>
    </row>
    <row r="397" spans="1:11" x14ac:dyDescent="0.25">
      <c r="A397" s="2" t="s">
        <v>400</v>
      </c>
      <c r="B397">
        <v>27</v>
      </c>
      <c r="C397" t="s">
        <v>4</v>
      </c>
      <c r="D397" t="str">
        <f>VLOOKUP(A397,[1]Sheet1!$A:$D,2,FALSE)</f>
        <v>GE MEDICAL SYSTEMS</v>
      </c>
      <c r="E397" t="str">
        <f>VLOOKUP(A397,[1]Sheet1!$A:$D,3,FALSE)</f>
        <v>DISCOVERY MR750</v>
      </c>
      <c r="F397">
        <f>VLOOKUP(A397,[1]Sheet1!$A:$D,4,FALSE)</f>
        <v>3</v>
      </c>
      <c r="G397">
        <f>VLOOKUP(A397,[2]Sheet1!$A:$D,2,FALSE)</f>
        <v>-1</v>
      </c>
      <c r="H397">
        <f>VLOOKUP(A397,[2]Sheet1!$A:$D,3,FALSE)</f>
        <v>-1</v>
      </c>
      <c r="I397">
        <f>VLOOKUP(A397,[2]Sheet1!$A:$D,4,FALSE)</f>
        <v>4</v>
      </c>
      <c r="J397" t="str">
        <f>VLOOKUP(A397,[3]Sheet1!$A:$C,2,FALSE)</f>
        <v>AUTO</v>
      </c>
      <c r="K397" t="str">
        <f>VLOOKUP(A397,[3]Sheet1!$A:$C,3,FALSE)</f>
        <v>ALL</v>
      </c>
    </row>
    <row r="398" spans="1:11" x14ac:dyDescent="0.25">
      <c r="A398" s="2" t="s">
        <v>401</v>
      </c>
      <c r="B398">
        <v>78</v>
      </c>
      <c r="C398" t="s">
        <v>4</v>
      </c>
      <c r="D398" t="str">
        <f>VLOOKUP(A398,[1]Sheet1!$A:$D,2,FALSE)</f>
        <v>SIEMENS</v>
      </c>
      <c r="E398" t="str">
        <f>VLOOKUP(A398,[1]Sheet1!$A:$D,3,FALSE)</f>
        <v>Symphony</v>
      </c>
      <c r="F398">
        <f>VLOOKUP(A398,[1]Sheet1!$A:$D,4,FALSE)</f>
        <v>1.5</v>
      </c>
      <c r="G398">
        <f>VLOOKUP(A398,[2]Sheet1!$A:$D,2,FALSE)</f>
        <v>0</v>
      </c>
      <c r="H398">
        <f>VLOOKUP(A398,[2]Sheet1!$A:$D,3,FALSE)</f>
        <v>-1</v>
      </c>
      <c r="I398">
        <f>VLOOKUP(A398,[2]Sheet1!$A:$D,4,FALSE)</f>
        <v>4</v>
      </c>
      <c r="J398" t="str">
        <f>VLOOKUP(A398,[3]Sheet1!$A:$C,2,FALSE)</f>
        <v>AUTO</v>
      </c>
      <c r="K398" t="str">
        <f>VLOOKUP(A398,[3]Sheet1!$A:$C,3,FALSE)</f>
        <v>ALL</v>
      </c>
    </row>
    <row r="399" spans="1:11" x14ac:dyDescent="0.25">
      <c r="A399" s="2" t="s">
        <v>402</v>
      </c>
      <c r="B399">
        <v>57</v>
      </c>
      <c r="C399" t="s">
        <v>4</v>
      </c>
      <c r="D399" t="str">
        <f>VLOOKUP(A399,[1]Sheet1!$A:$D,2,FALSE)</f>
        <v>SIEMENS</v>
      </c>
      <c r="E399" t="str">
        <f>VLOOKUP(A399,[1]Sheet1!$A:$D,3,FALSE)</f>
        <v>Symphony</v>
      </c>
      <c r="F399">
        <f>VLOOKUP(A399,[1]Sheet1!$A:$D,4,FALSE)</f>
        <v>1.5</v>
      </c>
      <c r="G399">
        <f>VLOOKUP(A399,[2]Sheet1!$A:$D,2,FALSE)</f>
        <v>-1</v>
      </c>
      <c r="H399">
        <f>VLOOKUP(A399,[2]Sheet1!$A:$D,3,FALSE)</f>
        <v>-1</v>
      </c>
      <c r="I399">
        <f>VLOOKUP(A399,[2]Sheet1!$A:$D,4,FALSE)</f>
        <v>4</v>
      </c>
      <c r="J399" t="str">
        <f>VLOOKUP(A399,[3]Sheet1!$A:$C,2,FALSE)</f>
        <v>AUTO</v>
      </c>
      <c r="K399" t="str">
        <f>VLOOKUP(A399,[3]Sheet1!$A:$C,3,FALSE)</f>
        <v>ALL</v>
      </c>
    </row>
    <row r="400" spans="1:11" x14ac:dyDescent="0.25">
      <c r="A400" s="2" t="s">
        <v>403</v>
      </c>
      <c r="B400">
        <v>62</v>
      </c>
      <c r="C400" t="s">
        <v>4</v>
      </c>
      <c r="D400" t="str">
        <f>VLOOKUP(A400,[1]Sheet1!$A:$D,2,FALSE)</f>
        <v>Philips Medical Systems</v>
      </c>
      <c r="E400" t="str">
        <f>VLOOKUP(A400,[1]Sheet1!$A:$D,3,FALSE)</f>
        <v>Intera</v>
      </c>
      <c r="F400">
        <f>VLOOKUP(A400,[1]Sheet1!$A:$D,4,FALSE)</f>
        <v>1.5</v>
      </c>
      <c r="G400">
        <f>VLOOKUP(A400,[2]Sheet1!$A:$D,2,FALSE)</f>
        <v>-1</v>
      </c>
      <c r="H400">
        <f>VLOOKUP(A400,[2]Sheet1!$A:$D,3,FALSE)</f>
        <v>-1</v>
      </c>
      <c r="I400">
        <f>VLOOKUP(A400,[2]Sheet1!$A:$D,4,FALSE)</f>
        <v>4</v>
      </c>
      <c r="J400" t="str">
        <f>VLOOKUP(A400,[3]Sheet1!$A:$C,2,FALSE)</f>
        <v>AUTO</v>
      </c>
      <c r="K400" t="str">
        <f>VLOOKUP(A400,[3]Sheet1!$A:$C,3,FALSE)</f>
        <v>ALL</v>
      </c>
    </row>
    <row r="401" spans="1:11" x14ac:dyDescent="0.25">
      <c r="A401" s="2" t="s">
        <v>404</v>
      </c>
      <c r="B401">
        <v>75</v>
      </c>
      <c r="C401" t="s">
        <v>7</v>
      </c>
      <c r="D401" t="str">
        <f>VLOOKUP(A401,[1]Sheet1!$A:$D,2,FALSE)</f>
        <v>SIEMENS</v>
      </c>
      <c r="E401" t="str">
        <f>VLOOKUP(A401,[1]Sheet1!$A:$D,3,FALSE)</f>
        <v>Skyra</v>
      </c>
      <c r="F401">
        <f>VLOOKUP(A401,[1]Sheet1!$A:$D,4,FALSE)</f>
        <v>3</v>
      </c>
      <c r="G401">
        <f>VLOOKUP(A401,[2]Sheet1!$A:$D,2,FALSE)</f>
        <v>0</v>
      </c>
      <c r="H401">
        <f>VLOOKUP(A401,[2]Sheet1!$A:$D,3,FALSE)</f>
        <v>0</v>
      </c>
      <c r="I401">
        <f>VLOOKUP(A401,[2]Sheet1!$A:$D,4,FALSE)</f>
        <v>4</v>
      </c>
      <c r="J401" t="str">
        <f>VLOOKUP(A401,[3]Sheet1!$A:$C,2,FALSE)</f>
        <v>OBS1</v>
      </c>
      <c r="K401" t="str">
        <f>VLOOKUP(A401,[3]Sheet1!$A:$C,3,FALSE)</f>
        <v>T2</v>
      </c>
    </row>
    <row r="402" spans="1:11" x14ac:dyDescent="0.25">
      <c r="A402" s="2" t="s">
        <v>405</v>
      </c>
      <c r="B402">
        <v>44</v>
      </c>
      <c r="C402" t="s">
        <v>4</v>
      </c>
      <c r="D402" t="str">
        <f>VLOOKUP(A402,[1]Sheet1!$A:$D,2,FALSE)</f>
        <v>GE MEDICAL SYSTEMS</v>
      </c>
      <c r="E402" t="str">
        <f>VLOOKUP(A402,[1]Sheet1!$A:$D,3,FALSE)</f>
        <v>DISCOVERY MR450</v>
      </c>
      <c r="F402">
        <f>VLOOKUP(A402,[1]Sheet1!$A:$D,4,FALSE)</f>
        <v>1.5</v>
      </c>
      <c r="G402">
        <f>VLOOKUP(A402,[2]Sheet1!$A:$D,2,FALSE)</f>
        <v>0</v>
      </c>
      <c r="H402">
        <f>VLOOKUP(A402,[2]Sheet1!$A:$D,3,FALSE)</f>
        <v>0</v>
      </c>
      <c r="I402">
        <f>VLOOKUP(A402,[2]Sheet1!$A:$D,4,FALSE)</f>
        <v>4</v>
      </c>
      <c r="J402" t="str">
        <f>VLOOKUP(A402,[3]Sheet1!$A:$C,2,FALSE)</f>
        <v>AUTO</v>
      </c>
      <c r="K402" t="str">
        <f>VLOOKUP(A402,[3]Sheet1!$A:$C,3,FALSE)</f>
        <v>ALL</v>
      </c>
    </row>
    <row r="403" spans="1:11" x14ac:dyDescent="0.25">
      <c r="A403" s="2" t="s">
        <v>406</v>
      </c>
      <c r="B403">
        <v>47</v>
      </c>
      <c r="C403" t="s">
        <v>4</v>
      </c>
      <c r="D403" t="str">
        <f>VLOOKUP(A403,[1]Sheet1!$A:$D,2,FALSE)</f>
        <v>SIEMENS</v>
      </c>
      <c r="E403" t="str">
        <f>VLOOKUP(A403,[1]Sheet1!$A:$D,3,FALSE)</f>
        <v>Espree</v>
      </c>
      <c r="F403">
        <f>VLOOKUP(A403,[1]Sheet1!$A:$D,4,FALSE)</f>
        <v>1.5</v>
      </c>
      <c r="G403">
        <f>VLOOKUP(A403,[2]Sheet1!$A:$D,2,FALSE)</f>
        <v>1</v>
      </c>
      <c r="H403">
        <f>VLOOKUP(A403,[2]Sheet1!$A:$D,3,FALSE)</f>
        <v>1</v>
      </c>
      <c r="I403">
        <f>VLOOKUP(A403,[2]Sheet1!$A:$D,4,FALSE)</f>
        <v>-1</v>
      </c>
      <c r="J403" t="str">
        <f>VLOOKUP(A403,[3]Sheet1!$A:$C,2,FALSE)</f>
        <v>AUTO</v>
      </c>
      <c r="K403" t="str">
        <f>VLOOKUP(A403,[3]Sheet1!$A:$C,3,FALSE)</f>
        <v>ALL</v>
      </c>
    </row>
    <row r="404" spans="1:11" x14ac:dyDescent="0.25">
      <c r="A404" s="2" t="s">
        <v>407</v>
      </c>
      <c r="B404">
        <v>52</v>
      </c>
      <c r="C404" t="s">
        <v>7</v>
      </c>
      <c r="D404" t="str">
        <f>VLOOKUP(A404,[1]Sheet1!$A:$D,2,FALSE)</f>
        <v>Philips Medical Systems</v>
      </c>
      <c r="E404" t="str">
        <f>VLOOKUP(A404,[1]Sheet1!$A:$D,3,FALSE)</f>
        <v>Intera</v>
      </c>
      <c r="F404">
        <f>VLOOKUP(A404,[1]Sheet1!$A:$D,4,FALSE)</f>
        <v>1</v>
      </c>
      <c r="G404">
        <f>VLOOKUP(A404,[2]Sheet1!$A:$D,2,FALSE)</f>
        <v>1</v>
      </c>
      <c r="H404">
        <f>VLOOKUP(A404,[2]Sheet1!$A:$D,3,FALSE)</f>
        <v>1</v>
      </c>
      <c r="I404">
        <f>VLOOKUP(A404,[2]Sheet1!$A:$D,4,FALSE)</f>
        <v>2</v>
      </c>
      <c r="J404" t="str">
        <f>VLOOKUP(A404,[3]Sheet1!$A:$C,2,FALSE)</f>
        <v>OBS2</v>
      </c>
      <c r="K404" t="str">
        <f>VLOOKUP(A404,[3]Sheet1!$A:$C,3,FALSE)</f>
        <v>T2</v>
      </c>
    </row>
    <row r="405" spans="1:11" x14ac:dyDescent="0.25">
      <c r="A405" s="2" t="s">
        <v>408</v>
      </c>
      <c r="B405">
        <v>75</v>
      </c>
      <c r="C405" t="s">
        <v>7</v>
      </c>
      <c r="D405" t="str">
        <f>VLOOKUP(A405,[1]Sheet1!$A:$D,2,FALSE)</f>
        <v>SIEMENS</v>
      </c>
      <c r="E405" t="str">
        <f>VLOOKUP(A405,[1]Sheet1!$A:$D,3,FALSE)</f>
        <v>Harmony</v>
      </c>
      <c r="F405">
        <f>VLOOKUP(A405,[1]Sheet1!$A:$D,4,FALSE)</f>
        <v>1</v>
      </c>
      <c r="G405">
        <f>VLOOKUP(A405,[2]Sheet1!$A:$D,2,FALSE)</f>
        <v>-1</v>
      </c>
      <c r="H405">
        <f>VLOOKUP(A405,[2]Sheet1!$A:$D,3,FALSE)</f>
        <v>-1</v>
      </c>
      <c r="I405">
        <f>VLOOKUP(A405,[2]Sheet1!$A:$D,4,FALSE)</f>
        <v>4</v>
      </c>
      <c r="J405" t="str">
        <f>VLOOKUP(A405,[3]Sheet1!$A:$C,2,FALSE)</f>
        <v>AUTO</v>
      </c>
      <c r="K405" t="str">
        <f>VLOOKUP(A405,[3]Sheet1!$A:$C,3,FALSE)</f>
        <v>ALL</v>
      </c>
    </row>
    <row r="406" spans="1:11" x14ac:dyDescent="0.25">
      <c r="A406" s="2" t="s">
        <v>409</v>
      </c>
      <c r="B406">
        <v>67</v>
      </c>
      <c r="C406" t="s">
        <v>4</v>
      </c>
      <c r="D406" t="str">
        <f>VLOOKUP(A406,[1]Sheet1!$A:$D,2,FALSE)</f>
        <v>Philips Medical Systems</v>
      </c>
      <c r="E406" t="str">
        <f>VLOOKUP(A406,[1]Sheet1!$A:$D,3,FALSE)</f>
        <v>Achieva dStream</v>
      </c>
      <c r="F406">
        <f>VLOOKUP(A406,[1]Sheet1!$A:$D,4,FALSE)</f>
        <v>1.5</v>
      </c>
      <c r="G406">
        <f>VLOOKUP(A406,[2]Sheet1!$A:$D,2,FALSE)</f>
        <v>0</v>
      </c>
      <c r="H406">
        <f>VLOOKUP(A406,[2]Sheet1!$A:$D,3,FALSE)</f>
        <v>-1</v>
      </c>
      <c r="I406">
        <f>VLOOKUP(A406,[2]Sheet1!$A:$D,4,FALSE)</f>
        <v>4</v>
      </c>
      <c r="J406" t="str">
        <f>VLOOKUP(A406,[3]Sheet1!$A:$C,2,FALSE)</f>
        <v>OBS1</v>
      </c>
      <c r="K406" t="str">
        <f>VLOOKUP(A406,[3]Sheet1!$A:$C,3,FALSE)</f>
        <v>T2</v>
      </c>
    </row>
    <row r="407" spans="1:11" x14ac:dyDescent="0.25">
      <c r="A407" s="2" t="s">
        <v>410</v>
      </c>
      <c r="B407">
        <v>65</v>
      </c>
      <c r="C407" t="s">
        <v>7</v>
      </c>
      <c r="D407" t="str">
        <f>VLOOKUP(A407,[1]Sheet1!$A:$D,2,FALSE)</f>
        <v>SIEMENS</v>
      </c>
      <c r="E407" t="str">
        <f>VLOOKUP(A407,[1]Sheet1!$A:$D,3,FALSE)</f>
        <v>Avanto</v>
      </c>
      <c r="F407">
        <f>VLOOKUP(A407,[1]Sheet1!$A:$D,4,FALSE)</f>
        <v>1.5</v>
      </c>
      <c r="G407">
        <f>VLOOKUP(A407,[2]Sheet1!$A:$D,2,FALSE)</f>
        <v>-1</v>
      </c>
      <c r="H407">
        <f>VLOOKUP(A407,[2]Sheet1!$A:$D,3,FALSE)</f>
        <v>-1</v>
      </c>
      <c r="I407">
        <f>VLOOKUP(A407,[2]Sheet1!$A:$D,4,FALSE)</f>
        <v>4</v>
      </c>
      <c r="J407" t="str">
        <f>VLOOKUP(A407,[3]Sheet1!$A:$C,2,FALSE)</f>
        <v>OBS1</v>
      </c>
      <c r="K407" t="str">
        <f>VLOOKUP(A407,[3]Sheet1!$A:$C,3,FALSE)</f>
        <v>T2</v>
      </c>
    </row>
    <row r="408" spans="1:11" x14ac:dyDescent="0.25">
      <c r="A408" s="2" t="s">
        <v>411</v>
      </c>
      <c r="B408">
        <v>73</v>
      </c>
      <c r="C408" t="s">
        <v>4</v>
      </c>
      <c r="D408" t="str">
        <f>VLOOKUP(A408,[1]Sheet1!$A:$D,2,FALSE)</f>
        <v>SIEMENS</v>
      </c>
      <c r="E408" t="str">
        <f>VLOOKUP(A408,[1]Sheet1!$A:$D,3,FALSE)</f>
        <v>Harmony</v>
      </c>
      <c r="F408">
        <f>VLOOKUP(A408,[1]Sheet1!$A:$D,4,FALSE)</f>
        <v>1</v>
      </c>
      <c r="G408">
        <f>VLOOKUP(A408,[2]Sheet1!$A:$D,2,FALSE)</f>
        <v>0</v>
      </c>
      <c r="H408">
        <f>VLOOKUP(A408,[2]Sheet1!$A:$D,3,FALSE)</f>
        <v>-1</v>
      </c>
      <c r="I408">
        <f>VLOOKUP(A408,[2]Sheet1!$A:$D,4,FALSE)</f>
        <v>4</v>
      </c>
      <c r="J408" t="str">
        <f>VLOOKUP(A408,[3]Sheet1!$A:$C,2,FALSE)</f>
        <v>OBS1</v>
      </c>
      <c r="K408" t="str">
        <f>VLOOKUP(A408,[3]Sheet1!$A:$C,3,FALSE)</f>
        <v>FLAIR</v>
      </c>
    </row>
    <row r="409" spans="1:11" x14ac:dyDescent="0.25">
      <c r="A409" s="2" t="s">
        <v>412</v>
      </c>
      <c r="B409">
        <v>-1</v>
      </c>
      <c r="C409" t="s">
        <v>4</v>
      </c>
      <c r="D409" t="str">
        <f>VLOOKUP(A409,[1]Sheet1!$A:$D,2,FALSE)</f>
        <v>GE MEDICAL SYSTEMS</v>
      </c>
      <c r="E409" t="str">
        <f>VLOOKUP(A409,[1]Sheet1!$A:$D,3,FALSE)</f>
        <v>DISCOVERY MR450</v>
      </c>
      <c r="F409">
        <f>VLOOKUP(A409,[1]Sheet1!$A:$D,4,FALSE)</f>
        <v>1.5</v>
      </c>
      <c r="G409">
        <f>VLOOKUP(A409,[2]Sheet1!$A:$D,2,FALSE)</f>
        <v>-1</v>
      </c>
      <c r="H409">
        <f>VLOOKUP(A409,[2]Sheet1!$A:$D,3,FALSE)</f>
        <v>-1</v>
      </c>
      <c r="I409">
        <f>VLOOKUP(A409,[2]Sheet1!$A:$D,4,FALSE)</f>
        <v>4</v>
      </c>
      <c r="J409" t="str">
        <f>VLOOKUP(A409,[3]Sheet1!$A:$C,2,FALSE)</f>
        <v>AUTO</v>
      </c>
      <c r="K409" t="str">
        <f>VLOOKUP(A409,[3]Sheet1!$A:$C,3,FALSE)</f>
        <v>ALL</v>
      </c>
    </row>
    <row r="410" spans="1:11" x14ac:dyDescent="0.25">
      <c r="A410" s="2" t="s">
        <v>413</v>
      </c>
      <c r="B410">
        <v>19</v>
      </c>
      <c r="C410" t="s">
        <v>4</v>
      </c>
      <c r="D410" t="str">
        <f>VLOOKUP(A410,[1]Sheet1!$A:$D,2,FALSE)</f>
        <v>Philips Medical Systems</v>
      </c>
      <c r="E410" t="str">
        <f>VLOOKUP(A410,[1]Sheet1!$A:$D,3,FALSE)</f>
        <v>NT Intera</v>
      </c>
      <c r="F410">
        <f>VLOOKUP(A410,[1]Sheet1!$A:$D,4,FALSE)</f>
        <v>1.5</v>
      </c>
      <c r="G410">
        <f>VLOOKUP(A410,[2]Sheet1!$A:$D,2,FALSE)</f>
        <v>-1</v>
      </c>
      <c r="H410">
        <f>VLOOKUP(A410,[2]Sheet1!$A:$D,3,FALSE)</f>
        <v>0</v>
      </c>
      <c r="I410">
        <f>VLOOKUP(A410,[2]Sheet1!$A:$D,4,FALSE)</f>
        <v>2</v>
      </c>
      <c r="J410" t="str">
        <f>VLOOKUP(A410,[3]Sheet1!$A:$C,2,FALSE)</f>
        <v>AUTO</v>
      </c>
      <c r="K410" t="str">
        <f>VLOOKUP(A410,[3]Sheet1!$A:$C,3,FALSE)</f>
        <v>ALL</v>
      </c>
    </row>
    <row r="411" spans="1:11" x14ac:dyDescent="0.25">
      <c r="A411" s="2" t="s">
        <v>414</v>
      </c>
      <c r="B411">
        <v>63</v>
      </c>
      <c r="C411" t="s">
        <v>4</v>
      </c>
      <c r="D411" t="str">
        <f>VLOOKUP(A411,[1]Sheet1!$A:$D,2,FALSE)</f>
        <v>Philips Medical Systems</v>
      </c>
      <c r="E411" t="str">
        <f>VLOOKUP(A411,[1]Sheet1!$A:$D,3,FALSE)</f>
        <v>Intera</v>
      </c>
      <c r="F411">
        <f>VLOOKUP(A411,[1]Sheet1!$A:$D,4,FALSE)</f>
        <v>1.5</v>
      </c>
      <c r="G411">
        <f>VLOOKUP(A411,[2]Sheet1!$A:$D,2,FALSE)</f>
        <v>1</v>
      </c>
      <c r="H411">
        <f>VLOOKUP(A411,[2]Sheet1!$A:$D,3,FALSE)</f>
        <v>0</v>
      </c>
      <c r="I411">
        <f>VLOOKUP(A411,[2]Sheet1!$A:$D,4,FALSE)</f>
        <v>2</v>
      </c>
      <c r="J411" t="str">
        <f>VLOOKUP(A411,[3]Sheet1!$A:$C,2,FALSE)</f>
        <v>AUTO</v>
      </c>
      <c r="K411" t="str">
        <f>VLOOKUP(A411,[3]Sheet1!$A:$C,3,FALSE)</f>
        <v>ALL</v>
      </c>
    </row>
    <row r="412" spans="1:11" x14ac:dyDescent="0.25">
      <c r="A412" s="2" t="s">
        <v>415</v>
      </c>
      <c r="B412">
        <v>39</v>
      </c>
      <c r="C412" t="s">
        <v>4</v>
      </c>
      <c r="D412" t="str">
        <f>VLOOKUP(A412,[1]Sheet1!$A:$D,2,FALSE)</f>
        <v>Philips Medical Systems</v>
      </c>
      <c r="E412" t="str">
        <f>VLOOKUP(A412,[1]Sheet1!$A:$D,3,FALSE)</f>
        <v>Achieva</v>
      </c>
      <c r="F412">
        <f>VLOOKUP(A412,[1]Sheet1!$A:$D,4,FALSE)</f>
        <v>1.5</v>
      </c>
      <c r="G412">
        <f>VLOOKUP(A412,[2]Sheet1!$A:$D,2,FALSE)</f>
        <v>1</v>
      </c>
      <c r="H412">
        <f>VLOOKUP(A412,[2]Sheet1!$A:$D,3,FALSE)</f>
        <v>1</v>
      </c>
      <c r="I412">
        <f>VLOOKUP(A412,[2]Sheet1!$A:$D,4,FALSE)</f>
        <v>2</v>
      </c>
      <c r="J412" t="str">
        <f>VLOOKUP(A412,[3]Sheet1!$A:$C,2,FALSE)</f>
        <v>OBS2</v>
      </c>
      <c r="K412" t="str">
        <f>VLOOKUP(A412,[3]Sheet1!$A:$C,3,FALSE)</f>
        <v>FLAIR</v>
      </c>
    </row>
    <row r="413" spans="1:11" x14ac:dyDescent="0.25">
      <c r="A413" s="2" t="s">
        <v>416</v>
      </c>
      <c r="B413">
        <v>-1</v>
      </c>
      <c r="C413" t="s">
        <v>4</v>
      </c>
      <c r="D413" t="str">
        <f>VLOOKUP(A413,[1]Sheet1!$A:$D,2,FALSE)</f>
        <v>SIEMENS</v>
      </c>
      <c r="E413" t="str">
        <f>VLOOKUP(A413,[1]Sheet1!$A:$D,3,FALSE)</f>
        <v>Aera</v>
      </c>
      <c r="F413">
        <f>VLOOKUP(A413,[1]Sheet1!$A:$D,4,FALSE)</f>
        <v>1.5</v>
      </c>
      <c r="G413">
        <f>VLOOKUP(A413,[2]Sheet1!$A:$D,2,FALSE)</f>
        <v>0</v>
      </c>
      <c r="H413">
        <f>VLOOKUP(A413,[2]Sheet1!$A:$D,3,FALSE)</f>
        <v>-1</v>
      </c>
      <c r="I413">
        <f>VLOOKUP(A413,[2]Sheet1!$A:$D,4,FALSE)</f>
        <v>-1</v>
      </c>
      <c r="J413" t="str">
        <f>VLOOKUP(A413,[3]Sheet1!$A:$C,2,FALSE)</f>
        <v>OBS1</v>
      </c>
      <c r="K413" t="str">
        <f>VLOOKUP(A413,[3]Sheet1!$A:$C,3,FALSE)</f>
        <v>FLAIR</v>
      </c>
    </row>
    <row r="414" spans="1:11" x14ac:dyDescent="0.25">
      <c r="A414" s="2" t="s">
        <v>417</v>
      </c>
      <c r="B414">
        <v>40</v>
      </c>
      <c r="C414" t="s">
        <v>7</v>
      </c>
      <c r="D414" t="str">
        <f>VLOOKUP(A414,[1]Sheet1!$A:$D,2,FALSE)</f>
        <v>Philips Medical Systems</v>
      </c>
      <c r="E414" t="str">
        <f>VLOOKUP(A414,[1]Sheet1!$A:$D,3,FALSE)</f>
        <v>Intera</v>
      </c>
      <c r="F414">
        <f>VLOOKUP(A414,[1]Sheet1!$A:$D,4,FALSE)</f>
        <v>1</v>
      </c>
      <c r="G414">
        <f>VLOOKUP(A414,[2]Sheet1!$A:$D,2,FALSE)</f>
        <v>1</v>
      </c>
      <c r="H414">
        <f>VLOOKUP(A414,[2]Sheet1!$A:$D,3,FALSE)</f>
        <v>0</v>
      </c>
      <c r="I414">
        <f>VLOOKUP(A414,[2]Sheet1!$A:$D,4,FALSE)</f>
        <v>2</v>
      </c>
      <c r="J414" t="str">
        <f>VLOOKUP(A414,[3]Sheet1!$A:$C,2,FALSE)</f>
        <v>OBS2</v>
      </c>
      <c r="K414" t="str">
        <f>VLOOKUP(A414,[3]Sheet1!$A:$C,3,FALSE)</f>
        <v>FLAIR</v>
      </c>
    </row>
    <row r="415" spans="1:11" x14ac:dyDescent="0.25">
      <c r="A415" s="2" t="s">
        <v>418</v>
      </c>
      <c r="B415">
        <v>72</v>
      </c>
      <c r="C415" t="s">
        <v>7</v>
      </c>
      <c r="D415" t="str">
        <f>VLOOKUP(A415,[1]Sheet1!$A:$D,2,FALSE)</f>
        <v>SIEMENS</v>
      </c>
      <c r="E415" t="str">
        <f>VLOOKUP(A415,[1]Sheet1!$A:$D,3,FALSE)</f>
        <v>Avanto</v>
      </c>
      <c r="F415">
        <f>VLOOKUP(A415,[1]Sheet1!$A:$D,4,FALSE)</f>
        <v>1.5</v>
      </c>
      <c r="G415">
        <f>VLOOKUP(A415,[2]Sheet1!$A:$D,2,FALSE)</f>
        <v>0</v>
      </c>
      <c r="H415">
        <f>VLOOKUP(A415,[2]Sheet1!$A:$D,3,FALSE)</f>
        <v>-1</v>
      </c>
      <c r="I415">
        <f>VLOOKUP(A415,[2]Sheet1!$A:$D,4,FALSE)</f>
        <v>4</v>
      </c>
      <c r="J415" t="str">
        <f>VLOOKUP(A415,[3]Sheet1!$A:$C,2,FALSE)</f>
        <v>OBS1</v>
      </c>
      <c r="K415" t="str">
        <f>VLOOKUP(A415,[3]Sheet1!$A:$C,3,FALSE)</f>
        <v>T2</v>
      </c>
    </row>
    <row r="416" spans="1:11" x14ac:dyDescent="0.25">
      <c r="A416" s="2" t="s">
        <v>419</v>
      </c>
      <c r="B416">
        <v>35</v>
      </c>
      <c r="C416" t="s">
        <v>4</v>
      </c>
      <c r="D416" t="str">
        <f>VLOOKUP(A416,[1]Sheet1!$A:$D,2,FALSE)</f>
        <v>GE MEDICAL SYSTEMS</v>
      </c>
      <c r="E416" t="str">
        <f>VLOOKUP(A416,[1]Sheet1!$A:$D,3,FALSE)</f>
        <v>GENESIS_SIGNA</v>
      </c>
      <c r="F416">
        <f>VLOOKUP(A416,[1]Sheet1!$A:$D,4,FALSE)</f>
        <v>1.5</v>
      </c>
      <c r="G416">
        <f>VLOOKUP(A416,[2]Sheet1!$A:$D,2,FALSE)</f>
        <v>1</v>
      </c>
      <c r="H416">
        <f>VLOOKUP(A416,[2]Sheet1!$A:$D,3,FALSE)</f>
        <v>0</v>
      </c>
      <c r="I416">
        <f>VLOOKUP(A416,[2]Sheet1!$A:$D,4,FALSE)</f>
        <v>2</v>
      </c>
      <c r="J416" t="str">
        <f>VLOOKUP(A416,[3]Sheet1!$A:$C,2,FALSE)</f>
        <v>OBS2</v>
      </c>
      <c r="K416" t="str">
        <f>VLOOKUP(A416,[3]Sheet1!$A:$C,3,FALSE)</f>
        <v>FLAIR</v>
      </c>
    </row>
    <row r="417" spans="1:11" x14ac:dyDescent="0.25">
      <c r="A417" s="2" t="s">
        <v>420</v>
      </c>
      <c r="B417">
        <v>62</v>
      </c>
      <c r="C417" t="s">
        <v>4</v>
      </c>
      <c r="D417" t="str">
        <f>VLOOKUP(A417,[1]Sheet1!$A:$D,2,FALSE)</f>
        <v>SIEMENS</v>
      </c>
      <c r="E417" t="str">
        <f>VLOOKUP(A417,[1]Sheet1!$A:$D,3,FALSE)</f>
        <v>Harmony</v>
      </c>
      <c r="F417">
        <f>VLOOKUP(A417,[1]Sheet1!$A:$D,4,FALSE)</f>
        <v>1</v>
      </c>
      <c r="G417">
        <f>VLOOKUP(A417,[2]Sheet1!$A:$D,2,FALSE)</f>
        <v>0</v>
      </c>
      <c r="H417">
        <f>VLOOKUP(A417,[2]Sheet1!$A:$D,3,FALSE)</f>
        <v>0</v>
      </c>
      <c r="I417">
        <f>VLOOKUP(A417,[2]Sheet1!$A:$D,4,FALSE)</f>
        <v>2</v>
      </c>
      <c r="J417" t="str">
        <f>VLOOKUP(A417,[3]Sheet1!$A:$C,2,FALSE)</f>
        <v>OBS2</v>
      </c>
      <c r="K417" t="str">
        <f>VLOOKUP(A417,[3]Sheet1!$A:$C,3,FALSE)</f>
        <v>FLAIR</v>
      </c>
    </row>
    <row r="418" spans="1:11" x14ac:dyDescent="0.25">
      <c r="A418" s="2" t="s">
        <v>421</v>
      </c>
      <c r="B418">
        <v>19</v>
      </c>
      <c r="C418" t="s">
        <v>7</v>
      </c>
      <c r="D418" t="str">
        <f>VLOOKUP(A418,[1]Sheet1!$A:$D,2,FALSE)</f>
        <v>GE MEDICAL SYSTEMS</v>
      </c>
      <c r="E418" t="str">
        <f>VLOOKUP(A418,[1]Sheet1!$A:$D,3,FALSE)</f>
        <v>DISCOVERY MR450</v>
      </c>
      <c r="F418">
        <f>VLOOKUP(A418,[1]Sheet1!$A:$D,4,FALSE)</f>
        <v>1.5</v>
      </c>
      <c r="G418">
        <f>VLOOKUP(A418,[2]Sheet1!$A:$D,2,FALSE)</f>
        <v>0</v>
      </c>
      <c r="H418">
        <f>VLOOKUP(A418,[2]Sheet1!$A:$D,3,FALSE)</f>
        <v>0</v>
      </c>
      <c r="I418">
        <f>VLOOKUP(A418,[2]Sheet1!$A:$D,4,FALSE)</f>
        <v>4</v>
      </c>
      <c r="J418" t="str">
        <f>VLOOKUP(A418,[3]Sheet1!$A:$C,2,FALSE)</f>
        <v>OBS1</v>
      </c>
      <c r="K418" t="str">
        <f>VLOOKUP(A418,[3]Sheet1!$A:$C,3,FALSE)</f>
        <v>T2</v>
      </c>
    </row>
    <row r="419" spans="1:11" x14ac:dyDescent="0.25">
      <c r="A419" s="2" t="s">
        <v>422</v>
      </c>
      <c r="B419">
        <v>70</v>
      </c>
      <c r="C419" t="s">
        <v>4</v>
      </c>
      <c r="D419" t="str">
        <f>VLOOKUP(A419,[1]Sheet1!$A:$D,2,FALSE)</f>
        <v>SIEMENS</v>
      </c>
      <c r="E419" t="str">
        <f>VLOOKUP(A419,[1]Sheet1!$A:$D,3,FALSE)</f>
        <v>Espree</v>
      </c>
      <c r="F419">
        <f>VLOOKUP(A419,[1]Sheet1!$A:$D,4,FALSE)</f>
        <v>1.5</v>
      </c>
      <c r="G419">
        <f>VLOOKUP(A419,[2]Sheet1!$A:$D,2,FALSE)</f>
        <v>0</v>
      </c>
      <c r="H419">
        <f>VLOOKUP(A419,[2]Sheet1!$A:$D,3,FALSE)</f>
        <v>-1</v>
      </c>
      <c r="I419">
        <f>VLOOKUP(A419,[2]Sheet1!$A:$D,4,FALSE)</f>
        <v>4</v>
      </c>
      <c r="J419" t="str">
        <f>VLOOKUP(A419,[3]Sheet1!$A:$C,2,FALSE)</f>
        <v>OBS1</v>
      </c>
      <c r="K419" t="str">
        <f>VLOOKUP(A419,[3]Sheet1!$A:$C,3,FALSE)</f>
        <v>T2</v>
      </c>
    </row>
    <row r="420" spans="1:11" x14ac:dyDescent="0.25">
      <c r="A420" s="2" t="s">
        <v>423</v>
      </c>
      <c r="B420">
        <v>79</v>
      </c>
      <c r="C420" t="s">
        <v>7</v>
      </c>
      <c r="D420" t="str">
        <f>VLOOKUP(A420,[1]Sheet1!$A:$D,2,FALSE)</f>
        <v>GE MEDICAL SYSTEMS</v>
      </c>
      <c r="E420" t="str">
        <f>VLOOKUP(A420,[1]Sheet1!$A:$D,3,FALSE)</f>
        <v>GENESIS_SIGNA</v>
      </c>
      <c r="F420">
        <f>VLOOKUP(A420,[1]Sheet1!$A:$D,4,FALSE)</f>
        <v>1</v>
      </c>
      <c r="G420">
        <f>VLOOKUP(A420,[2]Sheet1!$A:$D,2,FALSE)</f>
        <v>-1</v>
      </c>
      <c r="H420">
        <f>VLOOKUP(A420,[2]Sheet1!$A:$D,3,FALSE)</f>
        <v>-1</v>
      </c>
      <c r="I420">
        <f>VLOOKUP(A420,[2]Sheet1!$A:$D,4,FALSE)</f>
        <v>4</v>
      </c>
      <c r="J420" t="str">
        <f>VLOOKUP(A420,[3]Sheet1!$A:$C,2,FALSE)</f>
        <v>AUTO</v>
      </c>
      <c r="K420" t="str">
        <f>VLOOKUP(A420,[3]Sheet1!$A:$C,3,FALSE)</f>
        <v>ALL</v>
      </c>
    </row>
    <row r="421" spans="1:11" x14ac:dyDescent="0.25">
      <c r="A421" s="2" t="s">
        <v>424</v>
      </c>
      <c r="B421">
        <v>52</v>
      </c>
      <c r="C421" t="s">
        <v>4</v>
      </c>
      <c r="D421" t="str">
        <f>VLOOKUP(A421,[1]Sheet1!$A:$D,2,FALSE)</f>
        <v>SIEMENS</v>
      </c>
      <c r="E421" t="str">
        <f>VLOOKUP(A421,[1]Sheet1!$A:$D,3,FALSE)</f>
        <v>Symphony</v>
      </c>
      <c r="F421">
        <f>VLOOKUP(A421,[1]Sheet1!$A:$D,4,FALSE)</f>
        <v>1.5</v>
      </c>
      <c r="G421">
        <f>VLOOKUP(A421,[2]Sheet1!$A:$D,2,FALSE)</f>
        <v>1</v>
      </c>
      <c r="H421">
        <f>VLOOKUP(A421,[2]Sheet1!$A:$D,3,FALSE)</f>
        <v>1</v>
      </c>
      <c r="I421">
        <f>VLOOKUP(A421,[2]Sheet1!$A:$D,4,FALSE)</f>
        <v>2</v>
      </c>
      <c r="J421" t="str">
        <f>VLOOKUP(A421,[3]Sheet1!$A:$C,2,FALSE)</f>
        <v>OBS2</v>
      </c>
      <c r="K421" t="str">
        <f>VLOOKUP(A421,[3]Sheet1!$A:$C,3,FALSE)</f>
        <v>FLAIR</v>
      </c>
    </row>
    <row r="422" spans="1:11" x14ac:dyDescent="0.25">
      <c r="A422" s="2" t="s">
        <v>425</v>
      </c>
      <c r="B422">
        <v>67</v>
      </c>
      <c r="C422" t="s">
        <v>4</v>
      </c>
      <c r="D422" t="str">
        <f>VLOOKUP(A422,[1]Sheet1!$A:$D,2,FALSE)</f>
        <v>GE MEDICAL SYSTEMS</v>
      </c>
      <c r="E422" t="str">
        <f>VLOOKUP(A422,[1]Sheet1!$A:$D,3,FALSE)</f>
        <v>Signa HDxt</v>
      </c>
      <c r="F422">
        <f>VLOOKUP(A422,[1]Sheet1!$A:$D,4,FALSE)</f>
        <v>1.5</v>
      </c>
      <c r="G422">
        <f>VLOOKUP(A422,[2]Sheet1!$A:$D,2,FALSE)</f>
        <v>1</v>
      </c>
      <c r="H422">
        <f>VLOOKUP(A422,[2]Sheet1!$A:$D,3,FALSE)</f>
        <v>1</v>
      </c>
      <c r="I422">
        <f>VLOOKUP(A422,[2]Sheet1!$A:$D,4,FALSE)</f>
        <v>2</v>
      </c>
      <c r="J422" t="str">
        <f>VLOOKUP(A422,[3]Sheet1!$A:$C,2,FALSE)</f>
        <v>AUTO</v>
      </c>
      <c r="K422" t="str">
        <f>VLOOKUP(A422,[3]Sheet1!$A:$C,3,FALSE)</f>
        <v>ALL</v>
      </c>
    </row>
    <row r="423" spans="1:11" x14ac:dyDescent="0.25">
      <c r="A423" s="2" t="s">
        <v>426</v>
      </c>
      <c r="B423">
        <v>64</v>
      </c>
      <c r="C423" t="s">
        <v>4</v>
      </c>
      <c r="D423" t="str">
        <f>VLOOKUP(A423,[1]Sheet1!$A:$D,2,FALSE)</f>
        <v>SIEMENS</v>
      </c>
      <c r="E423" t="str">
        <f>VLOOKUP(A423,[1]Sheet1!$A:$D,3,FALSE)</f>
        <v>Harmony</v>
      </c>
      <c r="F423">
        <f>VLOOKUP(A423,[1]Sheet1!$A:$D,4,FALSE)</f>
        <v>1</v>
      </c>
      <c r="G423">
        <f>VLOOKUP(A423,[2]Sheet1!$A:$D,2,FALSE)</f>
        <v>-1</v>
      </c>
      <c r="H423">
        <f>VLOOKUP(A423,[2]Sheet1!$A:$D,3,FALSE)</f>
        <v>-1</v>
      </c>
      <c r="I423">
        <f>VLOOKUP(A423,[2]Sheet1!$A:$D,4,FALSE)</f>
        <v>4</v>
      </c>
      <c r="J423" t="str">
        <f>VLOOKUP(A423,[3]Sheet1!$A:$C,2,FALSE)</f>
        <v>AUTO</v>
      </c>
      <c r="K423" t="str">
        <f>VLOOKUP(A423,[3]Sheet1!$A:$C,3,FALSE)</f>
        <v>ALL</v>
      </c>
    </row>
    <row r="424" spans="1:11" x14ac:dyDescent="0.25">
      <c r="A424" s="2" t="s">
        <v>427</v>
      </c>
      <c r="B424">
        <v>53</v>
      </c>
      <c r="C424" t="s">
        <v>4</v>
      </c>
      <c r="D424" t="str">
        <f>VLOOKUP(A424,[1]Sheet1!$A:$D,2,FALSE)</f>
        <v>SIEMENS</v>
      </c>
      <c r="E424" t="str">
        <f>VLOOKUP(A424,[1]Sheet1!$A:$D,3,FALSE)</f>
        <v>Aera</v>
      </c>
      <c r="F424">
        <f>VLOOKUP(A424,[1]Sheet1!$A:$D,4,FALSE)</f>
        <v>1.5</v>
      </c>
      <c r="G424">
        <f>VLOOKUP(A424,[2]Sheet1!$A:$D,2,FALSE)</f>
        <v>0</v>
      </c>
      <c r="H424">
        <f>VLOOKUP(A424,[2]Sheet1!$A:$D,3,FALSE)</f>
        <v>0</v>
      </c>
      <c r="I424">
        <f>VLOOKUP(A424,[2]Sheet1!$A:$D,4,FALSE)</f>
        <v>-1</v>
      </c>
      <c r="J424" t="str">
        <f>VLOOKUP(A424,[3]Sheet1!$A:$C,2,FALSE)</f>
        <v>OBS1</v>
      </c>
      <c r="K424" t="str">
        <f>VLOOKUP(A424,[3]Sheet1!$A:$C,3,FALSE)</f>
        <v>FLAIR</v>
      </c>
    </row>
    <row r="425" spans="1:11" x14ac:dyDescent="0.25">
      <c r="A425" s="2" t="s">
        <v>428</v>
      </c>
      <c r="B425">
        <v>71</v>
      </c>
      <c r="C425" t="s">
        <v>7</v>
      </c>
      <c r="D425" t="str">
        <f>VLOOKUP(A425,[1]Sheet1!$A:$D,2,FALSE)</f>
        <v>SIEMENS</v>
      </c>
      <c r="E425" t="str">
        <f>VLOOKUP(A425,[1]Sheet1!$A:$D,3,FALSE)</f>
        <v>Aera</v>
      </c>
      <c r="F425">
        <f>VLOOKUP(A425,[1]Sheet1!$A:$D,4,FALSE)</f>
        <v>1.5</v>
      </c>
      <c r="G425">
        <f>VLOOKUP(A425,[2]Sheet1!$A:$D,2,FALSE)</f>
        <v>0</v>
      </c>
      <c r="H425">
        <f>VLOOKUP(A425,[2]Sheet1!$A:$D,3,FALSE)</f>
        <v>-1</v>
      </c>
      <c r="I425">
        <f>VLOOKUP(A425,[2]Sheet1!$A:$D,4,FALSE)</f>
        <v>4</v>
      </c>
      <c r="J425" t="str">
        <f>VLOOKUP(A425,[3]Sheet1!$A:$C,2,FALSE)</f>
        <v>OBS1</v>
      </c>
      <c r="K425" t="str">
        <f>VLOOKUP(A425,[3]Sheet1!$A:$C,3,FALSE)</f>
        <v>T2</v>
      </c>
    </row>
    <row r="426" spans="1:11" x14ac:dyDescent="0.25">
      <c r="A426" s="2" t="s">
        <v>429</v>
      </c>
      <c r="B426">
        <v>53</v>
      </c>
      <c r="C426" t="s">
        <v>4</v>
      </c>
      <c r="D426" t="str">
        <f>VLOOKUP(A426,[1]Sheet1!$A:$D,2,FALSE)</f>
        <v>SIEMENS</v>
      </c>
      <c r="E426" t="str">
        <f>VLOOKUP(A426,[1]Sheet1!$A:$D,3,FALSE)</f>
        <v>Skyra</v>
      </c>
      <c r="F426">
        <f>VLOOKUP(A426,[1]Sheet1!$A:$D,4,FALSE)</f>
        <v>3</v>
      </c>
      <c r="G426">
        <f>VLOOKUP(A426,[2]Sheet1!$A:$D,2,FALSE)</f>
        <v>0</v>
      </c>
      <c r="H426">
        <f>VLOOKUP(A426,[2]Sheet1!$A:$D,3,FALSE)</f>
        <v>-1</v>
      </c>
      <c r="I426">
        <f>VLOOKUP(A426,[2]Sheet1!$A:$D,4,FALSE)</f>
        <v>4</v>
      </c>
      <c r="J426" t="str">
        <f>VLOOKUP(A426,[3]Sheet1!$A:$C,2,FALSE)</f>
        <v>OBS1</v>
      </c>
      <c r="K426" t="str">
        <f>VLOOKUP(A426,[3]Sheet1!$A:$C,3,FALSE)</f>
        <v>T2</v>
      </c>
    </row>
    <row r="427" spans="1:11" x14ac:dyDescent="0.25">
      <c r="A427" s="2" t="s">
        <v>430</v>
      </c>
      <c r="B427">
        <v>41</v>
      </c>
      <c r="C427" t="s">
        <v>7</v>
      </c>
      <c r="D427" t="str">
        <f>VLOOKUP(A427,[1]Sheet1!$A:$D,2,FALSE)</f>
        <v>GE MEDICAL SYSTEMS</v>
      </c>
      <c r="E427" t="str">
        <f>VLOOKUP(A427,[1]Sheet1!$A:$D,3,FALSE)</f>
        <v>Signa HDxt</v>
      </c>
      <c r="F427">
        <f>VLOOKUP(A427,[1]Sheet1!$A:$D,4,FALSE)</f>
        <v>1.5</v>
      </c>
      <c r="G427">
        <f>VLOOKUP(A427,[2]Sheet1!$A:$D,2,FALSE)</f>
        <v>1</v>
      </c>
      <c r="H427">
        <f>VLOOKUP(A427,[2]Sheet1!$A:$D,3,FALSE)</f>
        <v>1</v>
      </c>
      <c r="I427">
        <f>VLOOKUP(A427,[2]Sheet1!$A:$D,4,FALSE)</f>
        <v>3</v>
      </c>
      <c r="J427" t="str">
        <f>VLOOKUP(A427,[3]Sheet1!$A:$C,2,FALSE)</f>
        <v>AUTO</v>
      </c>
      <c r="K427" t="str">
        <f>VLOOKUP(A427,[3]Sheet1!$A:$C,3,FALSE)</f>
        <v>ALL</v>
      </c>
    </row>
    <row r="428" spans="1:11" x14ac:dyDescent="0.25">
      <c r="A428" s="2" t="s">
        <v>431</v>
      </c>
      <c r="B428">
        <v>57</v>
      </c>
      <c r="C428" t="s">
        <v>4</v>
      </c>
      <c r="D428" t="str">
        <f>VLOOKUP(A428,[1]Sheet1!$A:$D,2,FALSE)</f>
        <v>SIEMENS</v>
      </c>
      <c r="E428" t="str">
        <f>VLOOKUP(A428,[1]Sheet1!$A:$D,3,FALSE)</f>
        <v>Aera</v>
      </c>
      <c r="F428">
        <f>VLOOKUP(A428,[1]Sheet1!$A:$D,4,FALSE)</f>
        <v>1.5</v>
      </c>
      <c r="G428">
        <f>VLOOKUP(A428,[2]Sheet1!$A:$D,2,FALSE)</f>
        <v>0</v>
      </c>
      <c r="H428">
        <f>VLOOKUP(A428,[2]Sheet1!$A:$D,3,FALSE)</f>
        <v>-1</v>
      </c>
      <c r="I428">
        <f>VLOOKUP(A428,[2]Sheet1!$A:$D,4,FALSE)</f>
        <v>4</v>
      </c>
      <c r="J428" t="str">
        <f>VLOOKUP(A428,[3]Sheet1!$A:$C,2,FALSE)</f>
        <v>OBS1</v>
      </c>
      <c r="K428" t="str">
        <f>VLOOKUP(A428,[3]Sheet1!$A:$C,3,FALSE)</f>
        <v>T2</v>
      </c>
    </row>
    <row r="429" spans="1:11" x14ac:dyDescent="0.25">
      <c r="A429" s="2" t="s">
        <v>432</v>
      </c>
      <c r="B429">
        <v>62</v>
      </c>
      <c r="C429" t="s">
        <v>4</v>
      </c>
      <c r="D429" t="str">
        <f>VLOOKUP(A429,[1]Sheet1!$A:$D,2,FALSE)</f>
        <v>Philips Medical Systems</v>
      </c>
      <c r="E429" t="str">
        <f>VLOOKUP(A429,[1]Sheet1!$A:$D,3,FALSE)</f>
        <v>Achieva</v>
      </c>
      <c r="F429">
        <f>VLOOKUP(A429,[1]Sheet1!$A:$D,4,FALSE)</f>
        <v>1.5</v>
      </c>
      <c r="G429">
        <f>VLOOKUP(A429,[2]Sheet1!$A:$D,2,FALSE)</f>
        <v>0</v>
      </c>
      <c r="H429">
        <f>VLOOKUP(A429,[2]Sheet1!$A:$D,3,FALSE)</f>
        <v>0</v>
      </c>
      <c r="I429">
        <f>VLOOKUP(A429,[2]Sheet1!$A:$D,4,FALSE)</f>
        <v>-1</v>
      </c>
      <c r="J429" t="str">
        <f>VLOOKUP(A429,[3]Sheet1!$A:$C,2,FALSE)</f>
        <v>OBS2</v>
      </c>
      <c r="K429" t="str">
        <f>VLOOKUP(A429,[3]Sheet1!$A:$C,3,FALSE)</f>
        <v>FLAIR</v>
      </c>
    </row>
    <row r="430" spans="1:11" x14ac:dyDescent="0.25">
      <c r="A430" s="2" t="s">
        <v>433</v>
      </c>
      <c r="B430">
        <v>68</v>
      </c>
      <c r="C430" t="s">
        <v>4</v>
      </c>
      <c r="D430" t="str">
        <f>VLOOKUP(A430,[1]Sheet1!$A:$D,2,FALSE)</f>
        <v>Philips Medical Systems</v>
      </c>
      <c r="E430" t="str">
        <f>VLOOKUP(A430,[1]Sheet1!$A:$D,3,FALSE)</f>
        <v>Panorama HFO</v>
      </c>
      <c r="F430">
        <f>VLOOKUP(A430,[1]Sheet1!$A:$D,4,FALSE)</f>
        <v>1</v>
      </c>
      <c r="G430">
        <f>VLOOKUP(A430,[2]Sheet1!$A:$D,2,FALSE)</f>
        <v>-1</v>
      </c>
      <c r="H430">
        <f>VLOOKUP(A430,[2]Sheet1!$A:$D,3,FALSE)</f>
        <v>-1</v>
      </c>
      <c r="I430">
        <f>VLOOKUP(A430,[2]Sheet1!$A:$D,4,FALSE)</f>
        <v>4</v>
      </c>
      <c r="J430" t="str">
        <f>VLOOKUP(A430,[3]Sheet1!$A:$C,2,FALSE)</f>
        <v>AUTO</v>
      </c>
      <c r="K430" t="str">
        <f>VLOOKUP(A430,[3]Sheet1!$A:$C,3,FALSE)</f>
        <v>ALL</v>
      </c>
    </row>
    <row r="431" spans="1:11" x14ac:dyDescent="0.25">
      <c r="A431" s="2" t="s">
        <v>434</v>
      </c>
      <c r="B431">
        <v>-1</v>
      </c>
      <c r="C431" t="s">
        <v>4</v>
      </c>
      <c r="D431" t="str">
        <f>VLOOKUP(A431,[1]Sheet1!$A:$D,2,FALSE)</f>
        <v>SIEMENS</v>
      </c>
      <c r="E431" t="str">
        <f>VLOOKUP(A431,[1]Sheet1!$A:$D,3,FALSE)</f>
        <v>Avanto</v>
      </c>
      <c r="F431">
        <f>VLOOKUP(A431,[1]Sheet1!$A:$D,4,FALSE)</f>
        <v>1.5</v>
      </c>
      <c r="G431">
        <f>VLOOKUP(A431,[2]Sheet1!$A:$D,2,FALSE)</f>
        <v>0</v>
      </c>
      <c r="H431">
        <f>VLOOKUP(A431,[2]Sheet1!$A:$D,3,FALSE)</f>
        <v>-1</v>
      </c>
      <c r="I431">
        <f>VLOOKUP(A431,[2]Sheet1!$A:$D,4,FALSE)</f>
        <v>-1</v>
      </c>
      <c r="J431" t="str">
        <f>VLOOKUP(A431,[3]Sheet1!$A:$C,2,FALSE)</f>
        <v>OBS1</v>
      </c>
      <c r="K431" t="str">
        <f>VLOOKUP(A431,[3]Sheet1!$A:$C,3,FALSE)</f>
        <v>FLAIR</v>
      </c>
    </row>
    <row r="432" spans="1:11" x14ac:dyDescent="0.25">
      <c r="A432" s="2" t="s">
        <v>435</v>
      </c>
      <c r="B432">
        <v>62</v>
      </c>
      <c r="C432" t="s">
        <v>4</v>
      </c>
      <c r="D432" t="str">
        <f>VLOOKUP(A432,[1]Sheet1!$A:$D,2,FALSE)</f>
        <v>GE MEDICAL SYSTEMS</v>
      </c>
      <c r="E432" t="str">
        <f>VLOOKUP(A432,[1]Sheet1!$A:$D,3,FALSE)</f>
        <v>DISCOVERY MR750</v>
      </c>
      <c r="F432">
        <f>VLOOKUP(A432,[1]Sheet1!$A:$D,4,FALSE)</f>
        <v>3</v>
      </c>
      <c r="G432">
        <f>VLOOKUP(A432,[2]Sheet1!$A:$D,2,FALSE)</f>
        <v>0</v>
      </c>
      <c r="H432">
        <f>VLOOKUP(A432,[2]Sheet1!$A:$D,3,FALSE)</f>
        <v>-1</v>
      </c>
      <c r="I432">
        <f>VLOOKUP(A432,[2]Sheet1!$A:$D,4,FALSE)</f>
        <v>4</v>
      </c>
      <c r="J432" t="str">
        <f>VLOOKUP(A432,[3]Sheet1!$A:$C,2,FALSE)</f>
        <v>OBS1</v>
      </c>
      <c r="K432" t="str">
        <f>VLOOKUP(A432,[3]Sheet1!$A:$C,3,FALSE)</f>
        <v>T2</v>
      </c>
    </row>
    <row r="433" spans="1:11" x14ac:dyDescent="0.25">
      <c r="A433" s="2" t="s">
        <v>436</v>
      </c>
      <c r="B433">
        <v>37</v>
      </c>
      <c r="C433" t="s">
        <v>4</v>
      </c>
      <c r="D433" t="str">
        <f>VLOOKUP(A433,[1]Sheet1!$A:$D,2,FALSE)</f>
        <v>GE MEDICAL SYSTEMS</v>
      </c>
      <c r="E433" t="str">
        <f>VLOOKUP(A433,[1]Sheet1!$A:$D,3,FALSE)</f>
        <v>DISCOVERY MR750</v>
      </c>
      <c r="F433">
        <f>VLOOKUP(A433,[1]Sheet1!$A:$D,4,FALSE)</f>
        <v>3</v>
      </c>
      <c r="G433">
        <f>VLOOKUP(A433,[2]Sheet1!$A:$D,2,FALSE)</f>
        <v>0</v>
      </c>
      <c r="H433">
        <f>VLOOKUP(A433,[2]Sheet1!$A:$D,3,FALSE)</f>
        <v>0</v>
      </c>
      <c r="I433">
        <f>VLOOKUP(A433,[2]Sheet1!$A:$D,4,FALSE)</f>
        <v>4</v>
      </c>
      <c r="J433" t="str">
        <f>VLOOKUP(A433,[3]Sheet1!$A:$C,2,FALSE)</f>
        <v>OBS1</v>
      </c>
      <c r="K433" t="str">
        <f>VLOOKUP(A433,[3]Sheet1!$A:$C,3,FALSE)</f>
        <v>FLAIR</v>
      </c>
    </row>
    <row r="434" spans="1:11" x14ac:dyDescent="0.25">
      <c r="A434" s="2" t="s">
        <v>437</v>
      </c>
      <c r="B434">
        <v>66</v>
      </c>
      <c r="C434" t="s">
        <v>4</v>
      </c>
      <c r="D434" t="str">
        <f>VLOOKUP(A434,[1]Sheet1!$A:$D,2,FALSE)</f>
        <v>SIEMENS</v>
      </c>
      <c r="E434" t="str">
        <f>VLOOKUP(A434,[1]Sheet1!$A:$D,3,FALSE)</f>
        <v>MAGNETOM_ESSENZA</v>
      </c>
      <c r="F434">
        <f>VLOOKUP(A434,[1]Sheet1!$A:$D,4,FALSE)</f>
        <v>1.5</v>
      </c>
      <c r="G434">
        <f>VLOOKUP(A434,[2]Sheet1!$A:$D,2,FALSE)</f>
        <v>0</v>
      </c>
      <c r="H434">
        <f>VLOOKUP(A434,[2]Sheet1!$A:$D,3,FALSE)</f>
        <v>-1</v>
      </c>
      <c r="I434">
        <f>VLOOKUP(A434,[2]Sheet1!$A:$D,4,FALSE)</f>
        <v>4</v>
      </c>
      <c r="J434" t="str">
        <f>VLOOKUP(A434,[3]Sheet1!$A:$C,2,FALSE)</f>
        <v>OBS1</v>
      </c>
      <c r="K434" t="str">
        <f>VLOOKUP(A434,[3]Sheet1!$A:$C,3,FALSE)</f>
        <v>T2</v>
      </c>
    </row>
    <row r="435" spans="1:11" x14ac:dyDescent="0.25">
      <c r="A435" s="2" t="s">
        <v>438</v>
      </c>
      <c r="B435">
        <v>57</v>
      </c>
      <c r="C435" t="s">
        <v>4</v>
      </c>
      <c r="D435" t="str">
        <f>VLOOKUP(A435,[1]Sheet1!$A:$D,2,FALSE)</f>
        <v>SIEMENS</v>
      </c>
      <c r="E435" t="str">
        <f>VLOOKUP(A435,[1]Sheet1!$A:$D,3,FALSE)</f>
        <v>SonataVision</v>
      </c>
      <c r="F435">
        <f>VLOOKUP(A435,[1]Sheet1!$A:$D,4,FALSE)</f>
        <v>1.5</v>
      </c>
      <c r="G435">
        <f>VLOOKUP(A435,[2]Sheet1!$A:$D,2,FALSE)</f>
        <v>1</v>
      </c>
      <c r="H435">
        <f>VLOOKUP(A435,[2]Sheet1!$A:$D,3,FALSE)</f>
        <v>1</v>
      </c>
      <c r="I435">
        <f>VLOOKUP(A435,[2]Sheet1!$A:$D,4,FALSE)</f>
        <v>3</v>
      </c>
      <c r="J435" t="str">
        <f>VLOOKUP(A435,[3]Sheet1!$A:$C,2,FALSE)</f>
        <v>OBS1</v>
      </c>
      <c r="K435" t="str">
        <f>VLOOKUP(A435,[3]Sheet1!$A:$C,3,FALSE)</f>
        <v>FLAIR</v>
      </c>
    </row>
    <row r="436" spans="1:11" x14ac:dyDescent="0.25">
      <c r="A436" s="2" t="s">
        <v>439</v>
      </c>
      <c r="B436">
        <v>39</v>
      </c>
      <c r="C436" t="s">
        <v>4</v>
      </c>
      <c r="D436" t="str">
        <f>VLOOKUP(A436,[1]Sheet1!$A:$D,2,FALSE)</f>
        <v>GE MEDICAL SYSTEMS</v>
      </c>
      <c r="E436" t="str">
        <f>VLOOKUP(A436,[1]Sheet1!$A:$D,3,FALSE)</f>
        <v>GENESIS_SIGNA</v>
      </c>
      <c r="F436">
        <f>VLOOKUP(A436,[1]Sheet1!$A:$D,4,FALSE)</f>
        <v>1</v>
      </c>
      <c r="G436">
        <f>VLOOKUP(A436,[2]Sheet1!$A:$D,2,FALSE)</f>
        <v>-1</v>
      </c>
      <c r="H436">
        <f>VLOOKUP(A436,[2]Sheet1!$A:$D,3,FALSE)</f>
        <v>-1</v>
      </c>
      <c r="I436">
        <f>VLOOKUP(A436,[2]Sheet1!$A:$D,4,FALSE)</f>
        <v>4</v>
      </c>
      <c r="J436" t="str">
        <f>VLOOKUP(A436,[3]Sheet1!$A:$C,2,FALSE)</f>
        <v>AUTO</v>
      </c>
      <c r="K436" t="str">
        <f>VLOOKUP(A436,[3]Sheet1!$A:$C,3,FALSE)</f>
        <v>ALL</v>
      </c>
    </row>
    <row r="437" spans="1:11" x14ac:dyDescent="0.25">
      <c r="A437" s="2" t="s">
        <v>440</v>
      </c>
      <c r="B437">
        <v>49</v>
      </c>
      <c r="C437" t="s">
        <v>4</v>
      </c>
      <c r="D437" t="str">
        <f>VLOOKUP(A437,[1]Sheet1!$A:$D,2,FALSE)</f>
        <v>SIEMENS</v>
      </c>
      <c r="E437" t="str">
        <f>VLOOKUP(A437,[1]Sheet1!$A:$D,3,FALSE)</f>
        <v>Symphony</v>
      </c>
      <c r="F437">
        <f>VLOOKUP(A437,[1]Sheet1!$A:$D,4,FALSE)</f>
        <v>1.5</v>
      </c>
      <c r="G437">
        <f>VLOOKUP(A437,[2]Sheet1!$A:$D,2,FALSE)</f>
        <v>-1</v>
      </c>
      <c r="H437">
        <f>VLOOKUP(A437,[2]Sheet1!$A:$D,3,FALSE)</f>
        <v>-1</v>
      </c>
      <c r="I437">
        <f>VLOOKUP(A437,[2]Sheet1!$A:$D,4,FALSE)</f>
        <v>4</v>
      </c>
      <c r="J437" t="str">
        <f>VLOOKUP(A437,[3]Sheet1!$A:$C,2,FALSE)</f>
        <v>AUTO</v>
      </c>
      <c r="K437" t="str">
        <f>VLOOKUP(A437,[3]Sheet1!$A:$C,3,FALSE)</f>
        <v>ALL</v>
      </c>
    </row>
    <row r="438" spans="1:11" x14ac:dyDescent="0.25">
      <c r="A438" s="2" t="s">
        <v>441</v>
      </c>
      <c r="B438">
        <v>61</v>
      </c>
      <c r="C438" t="s">
        <v>4</v>
      </c>
      <c r="D438" t="str">
        <f>VLOOKUP(A438,[1]Sheet1!$A:$D,2,FALSE)</f>
        <v>Philips Medical Systems</v>
      </c>
      <c r="E438" t="str">
        <f>VLOOKUP(A438,[1]Sheet1!$A:$D,3,FALSE)</f>
        <v>Achieva</v>
      </c>
      <c r="F438">
        <f>VLOOKUP(A438,[1]Sheet1!$A:$D,4,FALSE)</f>
        <v>1.5</v>
      </c>
      <c r="G438">
        <f>VLOOKUP(A438,[2]Sheet1!$A:$D,2,FALSE)</f>
        <v>-1</v>
      </c>
      <c r="H438">
        <f>VLOOKUP(A438,[2]Sheet1!$A:$D,3,FALSE)</f>
        <v>-1</v>
      </c>
      <c r="I438">
        <f>VLOOKUP(A438,[2]Sheet1!$A:$D,4,FALSE)</f>
        <v>4</v>
      </c>
      <c r="J438" t="str">
        <f>VLOOKUP(A438,[3]Sheet1!$A:$C,2,FALSE)</f>
        <v>AUTO</v>
      </c>
      <c r="K438" t="str">
        <f>VLOOKUP(A438,[3]Sheet1!$A:$C,3,FALSE)</f>
        <v>ALL</v>
      </c>
    </row>
    <row r="439" spans="1:11" x14ac:dyDescent="0.25">
      <c r="A439" s="2" t="s">
        <v>442</v>
      </c>
      <c r="B439">
        <v>52</v>
      </c>
      <c r="C439" t="s">
        <v>4</v>
      </c>
      <c r="D439" t="str">
        <f>VLOOKUP(A439,[1]Sheet1!$A:$D,2,FALSE)</f>
        <v>Philips Medical Systems</v>
      </c>
      <c r="E439" t="str">
        <f>VLOOKUP(A439,[1]Sheet1!$A:$D,3,FALSE)</f>
        <v>Ingenia</v>
      </c>
      <c r="F439">
        <f>VLOOKUP(A439,[1]Sheet1!$A:$D,4,FALSE)</f>
        <v>3</v>
      </c>
      <c r="G439">
        <f>VLOOKUP(A439,[2]Sheet1!$A:$D,2,FALSE)</f>
        <v>0</v>
      </c>
      <c r="H439">
        <f>VLOOKUP(A439,[2]Sheet1!$A:$D,3,FALSE)</f>
        <v>0</v>
      </c>
      <c r="I439">
        <f>VLOOKUP(A439,[2]Sheet1!$A:$D,4,FALSE)</f>
        <v>3</v>
      </c>
      <c r="J439" t="str">
        <f>VLOOKUP(A439,[3]Sheet1!$A:$C,2,FALSE)</f>
        <v>AUTO</v>
      </c>
      <c r="K439" t="str">
        <f>VLOOKUP(A439,[3]Sheet1!$A:$C,3,FALSE)</f>
        <v>ALL</v>
      </c>
    </row>
    <row r="440" spans="1:11" x14ac:dyDescent="0.25">
      <c r="A440" s="2" t="s">
        <v>443</v>
      </c>
      <c r="B440">
        <v>39</v>
      </c>
      <c r="C440" t="s">
        <v>4</v>
      </c>
      <c r="D440" t="str">
        <f>VLOOKUP(A440,[1]Sheet1!$A:$D,2,FALSE)</f>
        <v>SIEMENS</v>
      </c>
      <c r="E440" t="str">
        <f>VLOOKUP(A440,[1]Sheet1!$A:$D,3,FALSE)</f>
        <v>Symphony</v>
      </c>
      <c r="F440">
        <f>VLOOKUP(A440,[1]Sheet1!$A:$D,4,FALSE)</f>
        <v>1.5</v>
      </c>
      <c r="G440">
        <f>VLOOKUP(A440,[2]Sheet1!$A:$D,2,FALSE)</f>
        <v>1</v>
      </c>
      <c r="H440">
        <f>VLOOKUP(A440,[2]Sheet1!$A:$D,3,FALSE)</f>
        <v>0</v>
      </c>
      <c r="I440">
        <f>VLOOKUP(A440,[2]Sheet1!$A:$D,4,FALSE)</f>
        <v>3</v>
      </c>
      <c r="J440" t="str">
        <f>VLOOKUP(A440,[3]Sheet1!$A:$C,2,FALSE)</f>
        <v>OBS1</v>
      </c>
      <c r="K440" t="str">
        <f>VLOOKUP(A440,[3]Sheet1!$A:$C,3,FALSE)</f>
        <v>FLAIR</v>
      </c>
    </row>
    <row r="441" spans="1:11" x14ac:dyDescent="0.25">
      <c r="A441" s="2" t="s">
        <v>444</v>
      </c>
      <c r="B441">
        <v>60</v>
      </c>
      <c r="C441" t="s">
        <v>7</v>
      </c>
      <c r="D441" t="str">
        <f>VLOOKUP(A441,[1]Sheet1!$A:$D,2,FALSE)</f>
        <v>SIEMENS</v>
      </c>
      <c r="E441" t="str">
        <f>VLOOKUP(A441,[1]Sheet1!$A:$D,3,FALSE)</f>
        <v>Avanto</v>
      </c>
      <c r="F441">
        <f>VLOOKUP(A441,[1]Sheet1!$A:$D,4,FALSE)</f>
        <v>1.5</v>
      </c>
      <c r="G441">
        <f>VLOOKUP(A441,[2]Sheet1!$A:$D,2,FALSE)</f>
        <v>0</v>
      </c>
      <c r="H441">
        <f>VLOOKUP(A441,[2]Sheet1!$A:$D,3,FALSE)</f>
        <v>-1</v>
      </c>
      <c r="I441">
        <f>VLOOKUP(A441,[2]Sheet1!$A:$D,4,FALSE)</f>
        <v>4</v>
      </c>
      <c r="J441" t="str">
        <f>VLOOKUP(A441,[3]Sheet1!$A:$C,2,FALSE)</f>
        <v>OBS1</v>
      </c>
      <c r="K441" t="str">
        <f>VLOOKUP(A441,[3]Sheet1!$A:$C,3,FALSE)</f>
        <v>T2</v>
      </c>
    </row>
    <row r="442" spans="1:11" x14ac:dyDescent="0.25">
      <c r="A442" s="2" t="s">
        <v>445</v>
      </c>
      <c r="B442">
        <v>67</v>
      </c>
      <c r="C442" t="s">
        <v>4</v>
      </c>
      <c r="D442" t="str">
        <f>VLOOKUP(A442,[1]Sheet1!$A:$D,2,FALSE)</f>
        <v>Philips Medical Systems</v>
      </c>
      <c r="E442" t="str">
        <f>VLOOKUP(A442,[1]Sheet1!$A:$D,3,FALSE)</f>
        <v>Achieva</v>
      </c>
      <c r="F442">
        <f>VLOOKUP(A442,[1]Sheet1!$A:$D,4,FALSE)</f>
        <v>1.5</v>
      </c>
      <c r="G442">
        <f>VLOOKUP(A442,[2]Sheet1!$A:$D,2,FALSE)</f>
        <v>-1</v>
      </c>
      <c r="H442">
        <f>VLOOKUP(A442,[2]Sheet1!$A:$D,3,FALSE)</f>
        <v>-1</v>
      </c>
      <c r="I442">
        <f>VLOOKUP(A442,[2]Sheet1!$A:$D,4,FALSE)</f>
        <v>4</v>
      </c>
      <c r="J442" t="str">
        <f>VLOOKUP(A442,[3]Sheet1!$A:$C,2,FALSE)</f>
        <v>AUTO</v>
      </c>
      <c r="K442" t="str">
        <f>VLOOKUP(A442,[3]Sheet1!$A:$C,3,FALSE)</f>
        <v>ALL</v>
      </c>
    </row>
    <row r="443" spans="1:11" x14ac:dyDescent="0.25">
      <c r="A443" s="2" t="s">
        <v>446</v>
      </c>
      <c r="B443">
        <v>56</v>
      </c>
      <c r="C443" t="s">
        <v>4</v>
      </c>
      <c r="D443" t="str">
        <f>VLOOKUP(A443,[1]Sheet1!$A:$D,2,FALSE)</f>
        <v>SIEMENS</v>
      </c>
      <c r="E443" t="str">
        <f>VLOOKUP(A443,[1]Sheet1!$A:$D,3,FALSE)</f>
        <v>Harmony</v>
      </c>
      <c r="F443">
        <f>VLOOKUP(A443,[1]Sheet1!$A:$D,4,FALSE)</f>
        <v>1</v>
      </c>
      <c r="G443">
        <f>VLOOKUP(A443,[2]Sheet1!$A:$D,2,FALSE)</f>
        <v>0</v>
      </c>
      <c r="H443">
        <f>VLOOKUP(A443,[2]Sheet1!$A:$D,3,FALSE)</f>
        <v>0</v>
      </c>
      <c r="I443">
        <f>VLOOKUP(A443,[2]Sheet1!$A:$D,4,FALSE)</f>
        <v>4</v>
      </c>
      <c r="J443" t="str">
        <f>VLOOKUP(A443,[3]Sheet1!$A:$C,2,FALSE)</f>
        <v>OBS1</v>
      </c>
      <c r="K443" t="str">
        <f>VLOOKUP(A443,[3]Sheet1!$A:$C,3,FALSE)</f>
        <v>FLAIR</v>
      </c>
    </row>
    <row r="444" spans="1:11" x14ac:dyDescent="0.25">
      <c r="A444" s="2" t="s">
        <v>447</v>
      </c>
      <c r="B444">
        <v>68</v>
      </c>
      <c r="C444" t="s">
        <v>7</v>
      </c>
      <c r="D444" t="str">
        <f>VLOOKUP(A444,[1]Sheet1!$A:$D,2,FALSE)</f>
        <v>SIEMENS</v>
      </c>
      <c r="E444" t="str">
        <f>VLOOKUP(A444,[1]Sheet1!$A:$D,3,FALSE)</f>
        <v>Symphony</v>
      </c>
      <c r="F444">
        <f>VLOOKUP(A444,[1]Sheet1!$A:$D,4,FALSE)</f>
        <v>1.5</v>
      </c>
      <c r="G444">
        <f>VLOOKUP(A444,[2]Sheet1!$A:$D,2,FALSE)</f>
        <v>0</v>
      </c>
      <c r="H444">
        <f>VLOOKUP(A444,[2]Sheet1!$A:$D,3,FALSE)</f>
        <v>-1</v>
      </c>
      <c r="I444">
        <f>VLOOKUP(A444,[2]Sheet1!$A:$D,4,FALSE)</f>
        <v>4</v>
      </c>
      <c r="J444" t="str">
        <f>VLOOKUP(A444,[3]Sheet1!$A:$C,2,FALSE)</f>
        <v>AUTO</v>
      </c>
      <c r="K444" t="str">
        <f>VLOOKUP(A444,[3]Sheet1!$A:$C,3,FALSE)</f>
        <v>ALL</v>
      </c>
    </row>
    <row r="445" spans="1:11" x14ac:dyDescent="0.25">
      <c r="A445" s="2" t="s">
        <v>448</v>
      </c>
      <c r="B445">
        <v>58</v>
      </c>
      <c r="C445" t="s">
        <v>4</v>
      </c>
      <c r="D445" t="str">
        <f>VLOOKUP(A445,[1]Sheet1!$A:$D,2,FALSE)</f>
        <v>GE MEDICAL SYSTEMS</v>
      </c>
      <c r="E445" t="str">
        <f>VLOOKUP(A445,[1]Sheet1!$A:$D,3,FALSE)</f>
        <v>Signa HDxt</v>
      </c>
      <c r="F445">
        <f>VLOOKUP(A445,[1]Sheet1!$A:$D,4,FALSE)</f>
        <v>1.5</v>
      </c>
      <c r="G445">
        <f>VLOOKUP(A445,[2]Sheet1!$A:$D,2,FALSE)</f>
        <v>-1</v>
      </c>
      <c r="H445">
        <f>VLOOKUP(A445,[2]Sheet1!$A:$D,3,FALSE)</f>
        <v>-1</v>
      </c>
      <c r="I445">
        <f>VLOOKUP(A445,[2]Sheet1!$A:$D,4,FALSE)</f>
        <v>4</v>
      </c>
      <c r="J445" t="str">
        <f>VLOOKUP(A445,[3]Sheet1!$A:$C,2,FALSE)</f>
        <v>AUTO</v>
      </c>
      <c r="K445" t="str">
        <f>VLOOKUP(A445,[3]Sheet1!$A:$C,3,FALSE)</f>
        <v>ALL</v>
      </c>
    </row>
    <row r="446" spans="1:11" x14ac:dyDescent="0.25">
      <c r="A446" s="2" t="s">
        <v>449</v>
      </c>
      <c r="B446">
        <v>73</v>
      </c>
      <c r="C446" t="s">
        <v>7</v>
      </c>
      <c r="D446" t="str">
        <f>VLOOKUP(A446,[1]Sheet1!$A:$D,2,FALSE)</f>
        <v>Philips Medical Systems</v>
      </c>
      <c r="E446" t="str">
        <f>VLOOKUP(A446,[1]Sheet1!$A:$D,3,FALSE)</f>
        <v>Intera</v>
      </c>
      <c r="F446">
        <f>VLOOKUP(A446,[1]Sheet1!$A:$D,4,FALSE)</f>
        <v>1.5</v>
      </c>
      <c r="G446">
        <f>VLOOKUP(A446,[2]Sheet1!$A:$D,2,FALSE)</f>
        <v>-1</v>
      </c>
      <c r="H446">
        <f>VLOOKUP(A446,[2]Sheet1!$A:$D,3,FALSE)</f>
        <v>-1</v>
      </c>
      <c r="I446">
        <f>VLOOKUP(A446,[2]Sheet1!$A:$D,4,FALSE)</f>
        <v>4</v>
      </c>
      <c r="J446" t="str">
        <f>VLOOKUP(A446,[3]Sheet1!$A:$C,2,FALSE)</f>
        <v>OBS1</v>
      </c>
      <c r="K446" t="str">
        <f>VLOOKUP(A446,[3]Sheet1!$A:$C,3,FALSE)</f>
        <v>T2</v>
      </c>
    </row>
    <row r="447" spans="1:11" x14ac:dyDescent="0.25">
      <c r="A447" s="2" t="s">
        <v>450</v>
      </c>
      <c r="B447">
        <v>49</v>
      </c>
      <c r="C447" t="s">
        <v>4</v>
      </c>
      <c r="D447" t="str">
        <f>VLOOKUP(A447,[1]Sheet1!$A:$D,2,FALSE)</f>
        <v>GE MEDICAL SYSTEMS</v>
      </c>
      <c r="E447" t="str">
        <f>VLOOKUP(A447,[1]Sheet1!$A:$D,3,FALSE)</f>
        <v>Signa HDxt</v>
      </c>
      <c r="F447">
        <f>VLOOKUP(A447,[1]Sheet1!$A:$D,4,FALSE)</f>
        <v>1.5</v>
      </c>
      <c r="G447">
        <f>VLOOKUP(A447,[2]Sheet1!$A:$D,2,FALSE)</f>
        <v>-1</v>
      </c>
      <c r="H447">
        <f>VLOOKUP(A447,[2]Sheet1!$A:$D,3,FALSE)</f>
        <v>-1</v>
      </c>
      <c r="I447">
        <f>VLOOKUP(A447,[2]Sheet1!$A:$D,4,FALSE)</f>
        <v>4</v>
      </c>
      <c r="J447" t="str">
        <f>VLOOKUP(A447,[3]Sheet1!$A:$C,2,FALSE)</f>
        <v>AUTO</v>
      </c>
      <c r="K447" t="str">
        <f>VLOOKUP(A447,[3]Sheet1!$A:$C,3,FALSE)</f>
        <v>ALL</v>
      </c>
    </row>
    <row r="448" spans="1:11" x14ac:dyDescent="0.25">
      <c r="A448" s="2" t="s">
        <v>451</v>
      </c>
      <c r="B448">
        <v>66</v>
      </c>
      <c r="C448" t="s">
        <v>4</v>
      </c>
      <c r="D448" t="str">
        <f>VLOOKUP(A448,[1]Sheet1!$A:$D,2,FALSE)</f>
        <v>Philips Medical Systems</v>
      </c>
      <c r="E448" t="str">
        <f>VLOOKUP(A448,[1]Sheet1!$A:$D,3,FALSE)</f>
        <v>Ingenia</v>
      </c>
      <c r="F448">
        <f>VLOOKUP(A448,[1]Sheet1!$A:$D,4,FALSE)</f>
        <v>3</v>
      </c>
      <c r="G448">
        <f>VLOOKUP(A448,[2]Sheet1!$A:$D,2,FALSE)</f>
        <v>0</v>
      </c>
      <c r="H448">
        <f>VLOOKUP(A448,[2]Sheet1!$A:$D,3,FALSE)</f>
        <v>-1</v>
      </c>
      <c r="I448">
        <f>VLOOKUP(A448,[2]Sheet1!$A:$D,4,FALSE)</f>
        <v>4</v>
      </c>
      <c r="J448" t="str">
        <f>VLOOKUP(A448,[3]Sheet1!$A:$C,2,FALSE)</f>
        <v>AUTO</v>
      </c>
      <c r="K448" t="str">
        <f>VLOOKUP(A448,[3]Sheet1!$A:$C,3,FALSE)</f>
        <v>ALL</v>
      </c>
    </row>
    <row r="449" spans="1:11" x14ac:dyDescent="0.25">
      <c r="A449" s="2" t="s">
        <v>452</v>
      </c>
      <c r="B449">
        <v>56</v>
      </c>
      <c r="C449" t="s">
        <v>7</v>
      </c>
      <c r="D449" t="str">
        <f>VLOOKUP(A449,[1]Sheet1!$A:$D,2,FALSE)</f>
        <v>SIEMENS</v>
      </c>
      <c r="E449" t="str">
        <f>VLOOKUP(A449,[1]Sheet1!$A:$D,3,FALSE)</f>
        <v>Harmony</v>
      </c>
      <c r="F449">
        <f>VLOOKUP(A449,[1]Sheet1!$A:$D,4,FALSE)</f>
        <v>1</v>
      </c>
      <c r="G449">
        <f>VLOOKUP(A449,[2]Sheet1!$A:$D,2,FALSE)</f>
        <v>0</v>
      </c>
      <c r="H449">
        <f>VLOOKUP(A449,[2]Sheet1!$A:$D,3,FALSE)</f>
        <v>-1</v>
      </c>
      <c r="I449">
        <f>VLOOKUP(A449,[2]Sheet1!$A:$D,4,FALSE)</f>
        <v>4</v>
      </c>
      <c r="J449" t="str">
        <f>VLOOKUP(A449,[3]Sheet1!$A:$C,2,FALSE)</f>
        <v>OBS1</v>
      </c>
      <c r="K449" t="str">
        <f>VLOOKUP(A449,[3]Sheet1!$A:$C,3,FALSE)</f>
        <v>FLAIR</v>
      </c>
    </row>
    <row r="450" spans="1:11" x14ac:dyDescent="0.25">
      <c r="A450" s="2" t="s">
        <v>453</v>
      </c>
      <c r="B450">
        <v>70</v>
      </c>
      <c r="C450" t="s">
        <v>7</v>
      </c>
      <c r="D450" t="str">
        <f>VLOOKUP(A450,[1]Sheet1!$A:$D,2,FALSE)</f>
        <v>SIEMENS</v>
      </c>
      <c r="E450" t="str">
        <f>VLOOKUP(A450,[1]Sheet1!$A:$D,3,FALSE)</f>
        <v>Symphony</v>
      </c>
      <c r="F450">
        <f>VLOOKUP(A450,[1]Sheet1!$A:$D,4,FALSE)</f>
        <v>1.5</v>
      </c>
      <c r="G450">
        <f>VLOOKUP(A450,[2]Sheet1!$A:$D,2,FALSE)</f>
        <v>0</v>
      </c>
      <c r="H450">
        <f>VLOOKUP(A450,[2]Sheet1!$A:$D,3,FALSE)</f>
        <v>-1</v>
      </c>
      <c r="I450">
        <f>VLOOKUP(A450,[2]Sheet1!$A:$D,4,FALSE)</f>
        <v>4</v>
      </c>
      <c r="J450" t="str">
        <f>VLOOKUP(A450,[3]Sheet1!$A:$C,2,FALSE)</f>
        <v>OBS1</v>
      </c>
      <c r="K450" t="str">
        <f>VLOOKUP(A450,[3]Sheet1!$A:$C,3,FALSE)</f>
        <v>T2</v>
      </c>
    </row>
    <row r="451" spans="1:11" x14ac:dyDescent="0.25">
      <c r="A451" s="2" t="s">
        <v>454</v>
      </c>
      <c r="B451">
        <v>53</v>
      </c>
      <c r="C451" t="s">
        <v>4</v>
      </c>
      <c r="D451" t="str">
        <f>VLOOKUP(A451,[1]Sheet1!$A:$D,2,FALSE)</f>
        <v>Philips Medical Systems</v>
      </c>
      <c r="E451" t="str">
        <f>VLOOKUP(A451,[1]Sheet1!$A:$D,3,FALSE)</f>
        <v>Achieva</v>
      </c>
      <c r="F451">
        <f>VLOOKUP(A451,[1]Sheet1!$A:$D,4,FALSE)</f>
        <v>1.5</v>
      </c>
      <c r="G451">
        <f>VLOOKUP(A451,[2]Sheet1!$A:$D,2,FALSE)</f>
        <v>1</v>
      </c>
      <c r="H451">
        <f>VLOOKUP(A451,[2]Sheet1!$A:$D,3,FALSE)</f>
        <v>1</v>
      </c>
      <c r="I451">
        <f>VLOOKUP(A451,[2]Sheet1!$A:$D,4,FALSE)</f>
        <v>2</v>
      </c>
      <c r="J451" t="str">
        <f>VLOOKUP(A451,[3]Sheet1!$A:$C,2,FALSE)</f>
        <v>AUTO</v>
      </c>
      <c r="K451" t="str">
        <f>VLOOKUP(A451,[3]Sheet1!$A:$C,3,FALSE)</f>
        <v>ALL</v>
      </c>
    </row>
    <row r="452" spans="1:11" x14ac:dyDescent="0.25">
      <c r="A452" s="2" t="s">
        <v>455</v>
      </c>
      <c r="B452">
        <v>62</v>
      </c>
      <c r="C452" t="s">
        <v>4</v>
      </c>
      <c r="D452" t="str">
        <f>VLOOKUP(A452,[1]Sheet1!$A:$D,2,FALSE)</f>
        <v>Philips Medical Systems</v>
      </c>
      <c r="E452" t="str">
        <f>VLOOKUP(A452,[1]Sheet1!$A:$D,3,FALSE)</f>
        <v>Achieva</v>
      </c>
      <c r="F452">
        <f>VLOOKUP(A452,[1]Sheet1!$A:$D,4,FALSE)</f>
        <v>1.5</v>
      </c>
      <c r="G452">
        <f>VLOOKUP(A452,[2]Sheet1!$A:$D,2,FALSE)</f>
        <v>0</v>
      </c>
      <c r="H452">
        <f>VLOOKUP(A452,[2]Sheet1!$A:$D,3,FALSE)</f>
        <v>-1</v>
      </c>
      <c r="I452">
        <f>VLOOKUP(A452,[2]Sheet1!$A:$D,4,FALSE)</f>
        <v>4</v>
      </c>
      <c r="J452" t="str">
        <f>VLOOKUP(A452,[3]Sheet1!$A:$C,2,FALSE)</f>
        <v>OBS1</v>
      </c>
      <c r="K452" t="str">
        <f>VLOOKUP(A452,[3]Sheet1!$A:$C,3,FALSE)</f>
        <v>T2</v>
      </c>
    </row>
    <row r="453" spans="1:11" x14ac:dyDescent="0.25">
      <c r="A453" s="2" t="s">
        <v>456</v>
      </c>
      <c r="B453">
        <v>67</v>
      </c>
      <c r="C453" t="s">
        <v>7</v>
      </c>
      <c r="D453" t="str">
        <f>VLOOKUP(A453,[1]Sheet1!$A:$D,2,FALSE)</f>
        <v>Philips Medical Systems</v>
      </c>
      <c r="E453" t="str">
        <f>VLOOKUP(A453,[1]Sheet1!$A:$D,3,FALSE)</f>
        <v>Intera</v>
      </c>
      <c r="F453">
        <f>VLOOKUP(A453,[1]Sheet1!$A:$D,4,FALSE)</f>
        <v>1.5</v>
      </c>
      <c r="G453">
        <f>VLOOKUP(A453,[2]Sheet1!$A:$D,2,FALSE)</f>
        <v>0</v>
      </c>
      <c r="H453">
        <f>VLOOKUP(A453,[2]Sheet1!$A:$D,3,FALSE)</f>
        <v>-1</v>
      </c>
      <c r="I453">
        <f>VLOOKUP(A453,[2]Sheet1!$A:$D,4,FALSE)</f>
        <v>4</v>
      </c>
      <c r="J453" t="str">
        <f>VLOOKUP(A453,[3]Sheet1!$A:$C,2,FALSE)</f>
        <v>AUTO</v>
      </c>
      <c r="K453" t="str">
        <f>VLOOKUP(A453,[3]Sheet1!$A:$C,3,FALSE)</f>
        <v>ALL</v>
      </c>
    </row>
    <row r="454" spans="1:11" x14ac:dyDescent="0.25">
      <c r="A454" s="2" t="s">
        <v>457</v>
      </c>
      <c r="B454">
        <v>52</v>
      </c>
      <c r="C454" t="s">
        <v>4</v>
      </c>
      <c r="D454" t="str">
        <f>VLOOKUP(A454,[1]Sheet1!$A:$D,2,FALSE)</f>
        <v>Philips Medical Systems</v>
      </c>
      <c r="E454" t="str">
        <f>VLOOKUP(A454,[1]Sheet1!$A:$D,3,FALSE)</f>
        <v>Achieva</v>
      </c>
      <c r="F454">
        <f>VLOOKUP(A454,[1]Sheet1!$A:$D,4,FALSE)</f>
        <v>3</v>
      </c>
      <c r="G454">
        <f>VLOOKUP(A454,[2]Sheet1!$A:$D,2,FALSE)</f>
        <v>1</v>
      </c>
      <c r="H454">
        <f>VLOOKUP(A454,[2]Sheet1!$A:$D,3,FALSE)</f>
        <v>0</v>
      </c>
      <c r="I454">
        <f>VLOOKUP(A454,[2]Sheet1!$A:$D,4,FALSE)</f>
        <v>2</v>
      </c>
      <c r="J454" t="str">
        <f>VLOOKUP(A454,[3]Sheet1!$A:$C,2,FALSE)</f>
        <v>OBS2</v>
      </c>
      <c r="K454" t="str">
        <f>VLOOKUP(A454,[3]Sheet1!$A:$C,3,FALSE)</f>
        <v>FLAIR</v>
      </c>
    </row>
    <row r="455" spans="1:11" x14ac:dyDescent="0.25">
      <c r="A455" s="2" t="s">
        <v>458</v>
      </c>
      <c r="B455">
        <v>61</v>
      </c>
      <c r="C455" t="s">
        <v>4</v>
      </c>
      <c r="D455" t="str">
        <f>VLOOKUP(A455,[1]Sheet1!$A:$D,2,FALSE)</f>
        <v>SIEMENS</v>
      </c>
      <c r="E455" t="str">
        <f>VLOOKUP(A455,[1]Sheet1!$A:$D,3,FALSE)</f>
        <v>Skyra</v>
      </c>
      <c r="F455">
        <f>VLOOKUP(A455,[1]Sheet1!$A:$D,4,FALSE)</f>
        <v>3</v>
      </c>
      <c r="G455">
        <f>VLOOKUP(A455,[2]Sheet1!$A:$D,2,FALSE)</f>
        <v>-1</v>
      </c>
      <c r="H455">
        <f>VLOOKUP(A455,[2]Sheet1!$A:$D,3,FALSE)</f>
        <v>-1</v>
      </c>
      <c r="I455">
        <f>VLOOKUP(A455,[2]Sheet1!$A:$D,4,FALSE)</f>
        <v>4</v>
      </c>
      <c r="J455" t="str">
        <f>VLOOKUP(A455,[3]Sheet1!$A:$C,2,FALSE)</f>
        <v>AUTO</v>
      </c>
      <c r="K455" t="str">
        <f>VLOOKUP(A455,[3]Sheet1!$A:$C,3,FALSE)</f>
        <v>ALL</v>
      </c>
    </row>
    <row r="456" spans="1:11" x14ac:dyDescent="0.25">
      <c r="A456" s="2" t="s">
        <v>459</v>
      </c>
      <c r="B456">
        <v>64</v>
      </c>
      <c r="C456" t="s">
        <v>4</v>
      </c>
      <c r="D456" t="str">
        <f>VLOOKUP(A456,[1]Sheet1!$A:$D,2,FALSE)</f>
        <v>Philips Medical Systems</v>
      </c>
      <c r="E456" t="str">
        <f>VLOOKUP(A456,[1]Sheet1!$A:$D,3,FALSE)</f>
        <v>Achieva dStream</v>
      </c>
      <c r="F456">
        <f>VLOOKUP(A456,[1]Sheet1!$A:$D,4,FALSE)</f>
        <v>1.5</v>
      </c>
      <c r="G456">
        <f>VLOOKUP(A456,[2]Sheet1!$A:$D,2,FALSE)</f>
        <v>0</v>
      </c>
      <c r="H456">
        <f>VLOOKUP(A456,[2]Sheet1!$A:$D,3,FALSE)</f>
        <v>-1</v>
      </c>
      <c r="I456">
        <f>VLOOKUP(A456,[2]Sheet1!$A:$D,4,FALSE)</f>
        <v>4</v>
      </c>
      <c r="J456" t="str">
        <f>VLOOKUP(A456,[3]Sheet1!$A:$C,2,FALSE)</f>
        <v>AUTO</v>
      </c>
      <c r="K456" t="str">
        <f>VLOOKUP(A456,[3]Sheet1!$A:$C,3,FALSE)</f>
        <v>ALL</v>
      </c>
    </row>
    <row r="457" spans="1:11" x14ac:dyDescent="0.25">
      <c r="A457" s="2" t="s">
        <v>460</v>
      </c>
      <c r="B457">
        <v>55</v>
      </c>
      <c r="C457" t="s">
        <v>4</v>
      </c>
      <c r="D457" t="str">
        <f>VLOOKUP(A457,[1]Sheet1!$A:$D,2,FALSE)</f>
        <v>SIEMENS</v>
      </c>
      <c r="E457" t="str">
        <f>VLOOKUP(A457,[1]Sheet1!$A:$D,3,FALSE)</f>
        <v>Avanto</v>
      </c>
      <c r="F457">
        <f>VLOOKUP(A457,[1]Sheet1!$A:$D,4,FALSE)</f>
        <v>1.5</v>
      </c>
      <c r="G457">
        <f>VLOOKUP(A457,[2]Sheet1!$A:$D,2,FALSE)</f>
        <v>-1</v>
      </c>
      <c r="H457">
        <f>VLOOKUP(A457,[2]Sheet1!$A:$D,3,FALSE)</f>
        <v>-1</v>
      </c>
      <c r="I457">
        <f>VLOOKUP(A457,[2]Sheet1!$A:$D,4,FALSE)</f>
        <v>4</v>
      </c>
      <c r="J457" t="str">
        <f>VLOOKUP(A457,[3]Sheet1!$A:$C,2,FALSE)</f>
        <v>AUTO</v>
      </c>
      <c r="K457" t="str">
        <f>VLOOKUP(A457,[3]Sheet1!$A:$C,3,FALSE)</f>
        <v>ALL</v>
      </c>
    </row>
    <row r="458" spans="1:11" x14ac:dyDescent="0.25">
      <c r="A458" s="2" t="s">
        <v>461</v>
      </c>
      <c r="B458">
        <v>53</v>
      </c>
      <c r="C458" t="s">
        <v>7</v>
      </c>
      <c r="D458" t="str">
        <f>VLOOKUP(A458,[1]Sheet1!$A:$D,2,FALSE)</f>
        <v>SIEMENS</v>
      </c>
      <c r="E458" t="str">
        <f>VLOOKUP(A458,[1]Sheet1!$A:$D,3,FALSE)</f>
        <v>Avanto</v>
      </c>
      <c r="F458">
        <f>VLOOKUP(A458,[1]Sheet1!$A:$D,4,FALSE)</f>
        <v>1.5</v>
      </c>
      <c r="G458">
        <f>VLOOKUP(A458,[2]Sheet1!$A:$D,2,FALSE)</f>
        <v>0</v>
      </c>
      <c r="H458">
        <f>VLOOKUP(A458,[2]Sheet1!$A:$D,3,FALSE)</f>
        <v>-1</v>
      </c>
      <c r="I458">
        <f>VLOOKUP(A458,[2]Sheet1!$A:$D,4,FALSE)</f>
        <v>3</v>
      </c>
      <c r="J458" t="str">
        <f>VLOOKUP(A458,[3]Sheet1!$A:$C,2,FALSE)</f>
        <v>AUTO</v>
      </c>
      <c r="K458" t="str">
        <f>VLOOKUP(A458,[3]Sheet1!$A:$C,3,FALSE)</f>
        <v>ALL</v>
      </c>
    </row>
    <row r="459" spans="1:11" x14ac:dyDescent="0.25">
      <c r="A459" s="2" t="s">
        <v>462</v>
      </c>
      <c r="B459">
        <v>71</v>
      </c>
      <c r="C459" t="s">
        <v>7</v>
      </c>
      <c r="D459" t="str">
        <f>VLOOKUP(A459,[1]Sheet1!$A:$D,2,FALSE)</f>
        <v>Philips Medical Systems</v>
      </c>
      <c r="E459" t="str">
        <f>VLOOKUP(A459,[1]Sheet1!$A:$D,3,FALSE)</f>
        <v>Intera</v>
      </c>
      <c r="F459">
        <f>VLOOKUP(A459,[1]Sheet1!$A:$D,4,FALSE)</f>
        <v>1.5</v>
      </c>
      <c r="G459">
        <f>VLOOKUP(A459,[2]Sheet1!$A:$D,2,FALSE)</f>
        <v>-1</v>
      </c>
      <c r="H459">
        <f>VLOOKUP(A459,[2]Sheet1!$A:$D,3,FALSE)</f>
        <v>-1</v>
      </c>
      <c r="I459">
        <f>VLOOKUP(A459,[2]Sheet1!$A:$D,4,FALSE)</f>
        <v>4</v>
      </c>
      <c r="J459" t="str">
        <f>VLOOKUP(A459,[3]Sheet1!$A:$C,2,FALSE)</f>
        <v>AUTO</v>
      </c>
      <c r="K459" t="str">
        <f>VLOOKUP(A459,[3]Sheet1!$A:$C,3,FALSE)</f>
        <v>ALL</v>
      </c>
    </row>
    <row r="460" spans="1:11" x14ac:dyDescent="0.25">
      <c r="A460" s="2" t="s">
        <v>463</v>
      </c>
      <c r="B460">
        <v>48</v>
      </c>
      <c r="C460" t="s">
        <v>7</v>
      </c>
      <c r="D460" t="str">
        <f>VLOOKUP(A460,[1]Sheet1!$A:$D,2,FALSE)</f>
        <v>SIEMENS</v>
      </c>
      <c r="E460" t="str">
        <f>VLOOKUP(A460,[1]Sheet1!$A:$D,3,FALSE)</f>
        <v>Symphony</v>
      </c>
      <c r="F460">
        <f>VLOOKUP(A460,[1]Sheet1!$A:$D,4,FALSE)</f>
        <v>1.5</v>
      </c>
      <c r="G460">
        <f>VLOOKUP(A460,[2]Sheet1!$A:$D,2,FALSE)</f>
        <v>-1</v>
      </c>
      <c r="H460">
        <f>VLOOKUP(A460,[2]Sheet1!$A:$D,3,FALSE)</f>
        <v>-1</v>
      </c>
      <c r="I460">
        <f>VLOOKUP(A460,[2]Sheet1!$A:$D,4,FALSE)</f>
        <v>4</v>
      </c>
      <c r="J460" t="str">
        <f>VLOOKUP(A460,[3]Sheet1!$A:$C,2,FALSE)</f>
        <v>AUTO</v>
      </c>
      <c r="K460" t="str">
        <f>VLOOKUP(A460,[3]Sheet1!$A:$C,3,FALSE)</f>
        <v>ALL</v>
      </c>
    </row>
    <row r="461" spans="1:11" x14ac:dyDescent="0.25">
      <c r="A461" s="2" t="s">
        <v>464</v>
      </c>
      <c r="B461">
        <v>-1</v>
      </c>
      <c r="C461" t="s">
        <v>4</v>
      </c>
      <c r="D461" t="str">
        <f>VLOOKUP(A461,[1]Sheet1!$A:$D,2,FALSE)</f>
        <v>Philips Healthcare</v>
      </c>
      <c r="E461" t="str">
        <f>VLOOKUP(A461,[1]Sheet1!$A:$D,3,FALSE)</f>
        <v>Ingenia</v>
      </c>
      <c r="F461">
        <f>VLOOKUP(A461,[1]Sheet1!$A:$D,4,FALSE)</f>
        <v>3</v>
      </c>
      <c r="G461">
        <f>VLOOKUP(A461,[2]Sheet1!$A:$D,2,FALSE)</f>
        <v>0</v>
      </c>
      <c r="H461">
        <f>VLOOKUP(A461,[2]Sheet1!$A:$D,3,FALSE)</f>
        <v>-1</v>
      </c>
      <c r="I461">
        <f>VLOOKUP(A461,[2]Sheet1!$A:$D,4,FALSE)</f>
        <v>-1</v>
      </c>
      <c r="J461" t="str">
        <f>VLOOKUP(A461,[3]Sheet1!$A:$C,2,FALSE)</f>
        <v>AUTO</v>
      </c>
      <c r="K461" t="str">
        <f>VLOOKUP(A461,[3]Sheet1!$A:$C,3,FALSE)</f>
        <v>ALL</v>
      </c>
    </row>
    <row r="462" spans="1:11" x14ac:dyDescent="0.25">
      <c r="A462" s="2" t="s">
        <v>465</v>
      </c>
      <c r="B462">
        <v>42</v>
      </c>
      <c r="C462" t="s">
        <v>7</v>
      </c>
      <c r="D462" t="str">
        <f>VLOOKUP(A462,[1]Sheet1!$A:$D,2,FALSE)</f>
        <v>SIEMENS</v>
      </c>
      <c r="E462" t="str">
        <f>VLOOKUP(A462,[1]Sheet1!$A:$D,3,FALSE)</f>
        <v>Avanto</v>
      </c>
      <c r="F462">
        <f>VLOOKUP(A462,[1]Sheet1!$A:$D,4,FALSE)</f>
        <v>1.5</v>
      </c>
      <c r="G462">
        <f>VLOOKUP(A462,[2]Sheet1!$A:$D,2,FALSE)</f>
        <v>1</v>
      </c>
      <c r="H462">
        <f>VLOOKUP(A462,[2]Sheet1!$A:$D,3,FALSE)</f>
        <v>1</v>
      </c>
      <c r="I462">
        <f>VLOOKUP(A462,[2]Sheet1!$A:$D,4,FALSE)</f>
        <v>2</v>
      </c>
      <c r="J462" t="str">
        <f>VLOOKUP(A462,[3]Sheet1!$A:$C,2,FALSE)</f>
        <v>AUTO</v>
      </c>
      <c r="K462" t="str">
        <f>VLOOKUP(A462,[3]Sheet1!$A:$C,3,FALSE)</f>
        <v>ALL</v>
      </c>
    </row>
    <row r="463" spans="1:11" x14ac:dyDescent="0.25">
      <c r="A463" s="2" t="s">
        <v>466</v>
      </c>
      <c r="B463">
        <v>55</v>
      </c>
      <c r="C463" t="s">
        <v>4</v>
      </c>
      <c r="D463" t="str">
        <f>VLOOKUP(A463,[1]Sheet1!$A:$D,2,FALSE)</f>
        <v>Philips Medical Systems</v>
      </c>
      <c r="E463" t="str">
        <f>VLOOKUP(A463,[1]Sheet1!$A:$D,3,FALSE)</f>
        <v>NT Intera</v>
      </c>
      <c r="F463">
        <f>VLOOKUP(A463,[1]Sheet1!$A:$D,4,FALSE)</f>
        <v>1.5</v>
      </c>
      <c r="G463">
        <f>VLOOKUP(A463,[2]Sheet1!$A:$D,2,FALSE)</f>
        <v>-1</v>
      </c>
      <c r="H463">
        <f>VLOOKUP(A463,[2]Sheet1!$A:$D,3,FALSE)</f>
        <v>-1</v>
      </c>
      <c r="I463">
        <f>VLOOKUP(A463,[2]Sheet1!$A:$D,4,FALSE)</f>
        <v>4</v>
      </c>
      <c r="J463" t="str">
        <f>VLOOKUP(A463,[3]Sheet1!$A:$C,2,FALSE)</f>
        <v>AUTO</v>
      </c>
      <c r="K463" t="str">
        <f>VLOOKUP(A463,[3]Sheet1!$A:$C,3,FALSE)</f>
        <v>ALL</v>
      </c>
    </row>
    <row r="464" spans="1:11" x14ac:dyDescent="0.25">
      <c r="A464" s="2" t="s">
        <v>467</v>
      </c>
      <c r="B464">
        <v>58</v>
      </c>
      <c r="C464" t="s">
        <v>4</v>
      </c>
      <c r="D464" t="str">
        <f>VLOOKUP(A464,[1]Sheet1!$A:$D,2,FALSE)</f>
        <v>SIEMENS</v>
      </c>
      <c r="E464" t="str">
        <f>VLOOKUP(A464,[1]Sheet1!$A:$D,3,FALSE)</f>
        <v>Avanto</v>
      </c>
      <c r="F464">
        <f>VLOOKUP(A464,[1]Sheet1!$A:$D,4,FALSE)</f>
        <v>1.5</v>
      </c>
      <c r="G464">
        <f>VLOOKUP(A464,[2]Sheet1!$A:$D,2,FALSE)</f>
        <v>0</v>
      </c>
      <c r="H464">
        <f>VLOOKUP(A464,[2]Sheet1!$A:$D,3,FALSE)</f>
        <v>-1</v>
      </c>
      <c r="I464">
        <f>VLOOKUP(A464,[2]Sheet1!$A:$D,4,FALSE)</f>
        <v>4</v>
      </c>
      <c r="J464" t="str">
        <f>VLOOKUP(A464,[3]Sheet1!$A:$C,2,FALSE)</f>
        <v>OBS1</v>
      </c>
      <c r="K464" t="str">
        <f>VLOOKUP(A464,[3]Sheet1!$A:$C,3,FALSE)</f>
        <v>T2</v>
      </c>
    </row>
    <row r="465" spans="1:11" x14ac:dyDescent="0.25">
      <c r="A465" s="2" t="s">
        <v>468</v>
      </c>
      <c r="B465">
        <v>73</v>
      </c>
      <c r="C465" t="s">
        <v>4</v>
      </c>
      <c r="D465" t="str">
        <f>VLOOKUP(A465,[1]Sheet1!$A:$D,2,FALSE)</f>
        <v>SIEMENS</v>
      </c>
      <c r="E465" t="str">
        <f>VLOOKUP(A465,[1]Sheet1!$A:$D,3,FALSE)</f>
        <v>Skyra</v>
      </c>
      <c r="F465">
        <f>VLOOKUP(A465,[1]Sheet1!$A:$D,4,FALSE)</f>
        <v>3</v>
      </c>
      <c r="G465">
        <f>VLOOKUP(A465,[2]Sheet1!$A:$D,2,FALSE)</f>
        <v>0</v>
      </c>
      <c r="H465">
        <f>VLOOKUP(A465,[2]Sheet1!$A:$D,3,FALSE)</f>
        <v>-1</v>
      </c>
      <c r="I465">
        <f>VLOOKUP(A465,[2]Sheet1!$A:$D,4,FALSE)</f>
        <v>4</v>
      </c>
      <c r="J465" t="str">
        <f>VLOOKUP(A465,[3]Sheet1!$A:$C,2,FALSE)</f>
        <v>AUTO</v>
      </c>
      <c r="K465" t="str">
        <f>VLOOKUP(A465,[3]Sheet1!$A:$C,3,FALSE)</f>
        <v>ALL</v>
      </c>
    </row>
    <row r="466" spans="1:11" x14ac:dyDescent="0.25">
      <c r="A466" s="2" t="s">
        <v>469</v>
      </c>
      <c r="B466">
        <v>66</v>
      </c>
      <c r="C466" t="s">
        <v>4</v>
      </c>
      <c r="D466" t="str">
        <f>VLOOKUP(A466,[1]Sheet1!$A:$D,2,FALSE)</f>
        <v>Philips Medical Systems</v>
      </c>
      <c r="E466" t="str">
        <f>VLOOKUP(A466,[1]Sheet1!$A:$D,3,FALSE)</f>
        <v>Achieva</v>
      </c>
      <c r="F466">
        <f>VLOOKUP(A466,[1]Sheet1!$A:$D,4,FALSE)</f>
        <v>1.5</v>
      </c>
      <c r="G466">
        <f>VLOOKUP(A466,[2]Sheet1!$A:$D,2,FALSE)</f>
        <v>-1</v>
      </c>
      <c r="H466">
        <f>VLOOKUP(A466,[2]Sheet1!$A:$D,3,FALSE)</f>
        <v>-1</v>
      </c>
      <c r="I466">
        <f>VLOOKUP(A466,[2]Sheet1!$A:$D,4,FALSE)</f>
        <v>3</v>
      </c>
      <c r="J466" t="str">
        <f>VLOOKUP(A466,[3]Sheet1!$A:$C,2,FALSE)</f>
        <v>AUTO</v>
      </c>
      <c r="K466" t="str">
        <f>VLOOKUP(A466,[3]Sheet1!$A:$C,3,FALSE)</f>
        <v>ALL</v>
      </c>
    </row>
    <row r="467" spans="1:11" x14ac:dyDescent="0.25">
      <c r="A467" s="2" t="s">
        <v>470</v>
      </c>
      <c r="B467">
        <v>48</v>
      </c>
      <c r="C467" t="s">
        <v>7</v>
      </c>
      <c r="D467" t="str">
        <f>VLOOKUP(A467,[1]Sheet1!$A:$D,2,FALSE)</f>
        <v>GE MEDICAL SYSTEMS</v>
      </c>
      <c r="E467" t="str">
        <f>VLOOKUP(A467,[1]Sheet1!$A:$D,3,FALSE)</f>
        <v>GENESIS_SIGNA</v>
      </c>
      <c r="F467">
        <f>VLOOKUP(A467,[1]Sheet1!$A:$D,4,FALSE)</f>
        <v>1</v>
      </c>
      <c r="G467">
        <f>VLOOKUP(A467,[2]Sheet1!$A:$D,2,FALSE)</f>
        <v>1</v>
      </c>
      <c r="H467">
        <f>VLOOKUP(A467,[2]Sheet1!$A:$D,3,FALSE)</f>
        <v>0</v>
      </c>
      <c r="I467">
        <f>VLOOKUP(A467,[2]Sheet1!$A:$D,4,FALSE)</f>
        <v>2</v>
      </c>
      <c r="J467" t="str">
        <f>VLOOKUP(A467,[3]Sheet1!$A:$C,2,FALSE)</f>
        <v>OBS2</v>
      </c>
      <c r="K467" t="str">
        <f>VLOOKUP(A467,[3]Sheet1!$A:$C,3,FALSE)</f>
        <v>T2</v>
      </c>
    </row>
    <row r="468" spans="1:11" x14ac:dyDescent="0.25">
      <c r="A468" s="2" t="s">
        <v>471</v>
      </c>
      <c r="B468">
        <v>54</v>
      </c>
      <c r="C468" t="s">
        <v>4</v>
      </c>
      <c r="D468" t="str">
        <f>VLOOKUP(A468,[1]Sheet1!$A:$D,2,FALSE)</f>
        <v>SIEMENS</v>
      </c>
      <c r="E468" t="str">
        <f>VLOOKUP(A468,[1]Sheet1!$A:$D,3,FALSE)</f>
        <v>Symphony</v>
      </c>
      <c r="F468">
        <f>VLOOKUP(A468,[1]Sheet1!$A:$D,4,FALSE)</f>
        <v>1.5</v>
      </c>
      <c r="G468">
        <f>VLOOKUP(A468,[2]Sheet1!$A:$D,2,FALSE)</f>
        <v>-1</v>
      </c>
      <c r="H468">
        <f>VLOOKUP(A468,[2]Sheet1!$A:$D,3,FALSE)</f>
        <v>-1</v>
      </c>
      <c r="I468">
        <f>VLOOKUP(A468,[2]Sheet1!$A:$D,4,FALSE)</f>
        <v>4</v>
      </c>
      <c r="J468" t="str">
        <f>VLOOKUP(A468,[3]Sheet1!$A:$C,2,FALSE)</f>
        <v>AUTO</v>
      </c>
      <c r="K468" t="str">
        <f>VLOOKUP(A468,[3]Sheet1!$A:$C,3,FALSE)</f>
        <v>ALL</v>
      </c>
    </row>
    <row r="469" spans="1:11" x14ac:dyDescent="0.25">
      <c r="A469" s="2" t="s">
        <v>472</v>
      </c>
      <c r="B469">
        <v>55</v>
      </c>
      <c r="C469" t="s">
        <v>7</v>
      </c>
      <c r="D469" t="str">
        <f>VLOOKUP(A469,[1]Sheet1!$A:$D,2,FALSE)</f>
        <v>Philips Medical Systems</v>
      </c>
      <c r="E469" t="str">
        <f>VLOOKUP(A469,[1]Sheet1!$A:$D,3,FALSE)</f>
        <v>Achieva</v>
      </c>
      <c r="F469">
        <f>VLOOKUP(A469,[1]Sheet1!$A:$D,4,FALSE)</f>
        <v>1.5</v>
      </c>
      <c r="G469">
        <f>VLOOKUP(A469,[2]Sheet1!$A:$D,2,FALSE)</f>
        <v>-1</v>
      </c>
      <c r="H469">
        <f>VLOOKUP(A469,[2]Sheet1!$A:$D,3,FALSE)</f>
        <v>-1</v>
      </c>
      <c r="I469">
        <f>VLOOKUP(A469,[2]Sheet1!$A:$D,4,FALSE)</f>
        <v>3</v>
      </c>
      <c r="J469" t="str">
        <f>VLOOKUP(A469,[3]Sheet1!$A:$C,2,FALSE)</f>
        <v>AUTO</v>
      </c>
      <c r="K469" t="str">
        <f>VLOOKUP(A469,[3]Sheet1!$A:$C,3,FALSE)</f>
        <v>ALL</v>
      </c>
    </row>
    <row r="470" spans="1:11" x14ac:dyDescent="0.25">
      <c r="A470" s="2" t="s">
        <v>473</v>
      </c>
      <c r="B470">
        <v>76</v>
      </c>
      <c r="C470" t="s">
        <v>7</v>
      </c>
      <c r="D470" t="str">
        <f>VLOOKUP(A470,[1]Sheet1!$A:$D,2,FALSE)</f>
        <v>SIEMENS</v>
      </c>
      <c r="E470" t="str">
        <f>VLOOKUP(A470,[1]Sheet1!$A:$D,3,FALSE)</f>
        <v>Harmony</v>
      </c>
      <c r="F470">
        <f>VLOOKUP(A470,[1]Sheet1!$A:$D,4,FALSE)</f>
        <v>1</v>
      </c>
      <c r="G470">
        <f>VLOOKUP(A470,[2]Sheet1!$A:$D,2,FALSE)</f>
        <v>0</v>
      </c>
      <c r="H470">
        <f>VLOOKUP(A470,[2]Sheet1!$A:$D,3,FALSE)</f>
        <v>-1</v>
      </c>
      <c r="I470">
        <f>VLOOKUP(A470,[2]Sheet1!$A:$D,4,FALSE)</f>
        <v>4</v>
      </c>
      <c r="J470" t="str">
        <f>VLOOKUP(A470,[3]Sheet1!$A:$C,2,FALSE)</f>
        <v>OBS1</v>
      </c>
      <c r="K470" t="str">
        <f>VLOOKUP(A470,[3]Sheet1!$A:$C,3,FALSE)</f>
        <v>FLAIR</v>
      </c>
    </row>
    <row r="471" spans="1:11" x14ac:dyDescent="0.25">
      <c r="A471" s="2" t="s">
        <v>474</v>
      </c>
      <c r="B471">
        <v>74</v>
      </c>
      <c r="C471" t="s">
        <v>4</v>
      </c>
      <c r="D471" t="str">
        <f>VLOOKUP(A471,[1]Sheet1!$A:$D,2,FALSE)</f>
        <v>Philips Medical Systems</v>
      </c>
      <c r="E471" t="str">
        <f>VLOOKUP(A471,[1]Sheet1!$A:$D,3,FALSE)</f>
        <v>Achieva dStream</v>
      </c>
      <c r="F471">
        <f>VLOOKUP(A471,[1]Sheet1!$A:$D,4,FALSE)</f>
        <v>1.5</v>
      </c>
      <c r="G471">
        <f>VLOOKUP(A471,[2]Sheet1!$A:$D,2,FALSE)</f>
        <v>0</v>
      </c>
      <c r="H471">
        <f>VLOOKUP(A471,[2]Sheet1!$A:$D,3,FALSE)</f>
        <v>-1</v>
      </c>
      <c r="I471">
        <f>VLOOKUP(A471,[2]Sheet1!$A:$D,4,FALSE)</f>
        <v>4</v>
      </c>
      <c r="J471" t="str">
        <f>VLOOKUP(A471,[3]Sheet1!$A:$C,2,FALSE)</f>
        <v>AUTO</v>
      </c>
      <c r="K471" t="str">
        <f>VLOOKUP(A471,[3]Sheet1!$A:$C,3,FALSE)</f>
        <v>ALL</v>
      </c>
    </row>
    <row r="472" spans="1:11" x14ac:dyDescent="0.25">
      <c r="A472" s="2" t="s">
        <v>475</v>
      </c>
      <c r="B472">
        <v>59</v>
      </c>
      <c r="C472" t="s">
        <v>4</v>
      </c>
      <c r="D472" t="str">
        <f>VLOOKUP(A472,[1]Sheet1!$A:$D,2,FALSE)</f>
        <v>SIEMENS</v>
      </c>
      <c r="E472" t="str">
        <f>VLOOKUP(A472,[1]Sheet1!$A:$D,3,FALSE)</f>
        <v>MAGNETOM_ESSENZA</v>
      </c>
      <c r="F472">
        <f>VLOOKUP(A472,[1]Sheet1!$A:$D,4,FALSE)</f>
        <v>1.5</v>
      </c>
      <c r="G472">
        <f>VLOOKUP(A472,[2]Sheet1!$A:$D,2,FALSE)</f>
        <v>-1</v>
      </c>
      <c r="H472">
        <f>VLOOKUP(A472,[2]Sheet1!$A:$D,3,FALSE)</f>
        <v>-1</v>
      </c>
      <c r="I472">
        <f>VLOOKUP(A472,[2]Sheet1!$A:$D,4,FALSE)</f>
        <v>4</v>
      </c>
      <c r="J472" t="str">
        <f>VLOOKUP(A472,[3]Sheet1!$A:$C,2,FALSE)</f>
        <v>AUTO</v>
      </c>
      <c r="K472" t="str">
        <f>VLOOKUP(A472,[3]Sheet1!$A:$C,3,FALSE)</f>
        <v>ALL</v>
      </c>
    </row>
    <row r="473" spans="1:11" x14ac:dyDescent="0.25">
      <c r="A473" s="2" t="s">
        <v>476</v>
      </c>
      <c r="B473">
        <v>45</v>
      </c>
      <c r="C473" t="s">
        <v>4</v>
      </c>
      <c r="D473" t="str">
        <f>VLOOKUP(A473,[1]Sheet1!$A:$D,2,FALSE)</f>
        <v>GE MEDICAL SYSTEMS</v>
      </c>
      <c r="E473" t="str">
        <f>VLOOKUP(A473,[1]Sheet1!$A:$D,3,FALSE)</f>
        <v>Signa HDxt</v>
      </c>
      <c r="F473">
        <f>VLOOKUP(A473,[1]Sheet1!$A:$D,4,FALSE)</f>
        <v>1.5</v>
      </c>
      <c r="G473">
        <f>VLOOKUP(A473,[2]Sheet1!$A:$D,2,FALSE)</f>
        <v>1</v>
      </c>
      <c r="H473">
        <f>VLOOKUP(A473,[2]Sheet1!$A:$D,3,FALSE)</f>
        <v>1</v>
      </c>
      <c r="I473">
        <f>VLOOKUP(A473,[2]Sheet1!$A:$D,4,FALSE)</f>
        <v>2</v>
      </c>
      <c r="J473" t="str">
        <f>VLOOKUP(A473,[3]Sheet1!$A:$C,2,FALSE)</f>
        <v>AUTO</v>
      </c>
      <c r="K473" t="str">
        <f>VLOOKUP(A473,[3]Sheet1!$A:$C,3,FALSE)</f>
        <v>ALL</v>
      </c>
    </row>
    <row r="474" spans="1:11" x14ac:dyDescent="0.25">
      <c r="A474" s="2" t="s">
        <v>477</v>
      </c>
      <c r="B474">
        <v>50</v>
      </c>
      <c r="C474" t="s">
        <v>4</v>
      </c>
      <c r="D474" t="str">
        <f>VLOOKUP(A474,[1]Sheet1!$A:$D,2,FALSE)</f>
        <v>SIEMENS</v>
      </c>
      <c r="E474" t="str">
        <f>VLOOKUP(A474,[1]Sheet1!$A:$D,3,FALSE)</f>
        <v>Avanto</v>
      </c>
      <c r="F474">
        <f>VLOOKUP(A474,[1]Sheet1!$A:$D,4,FALSE)</f>
        <v>1.5</v>
      </c>
      <c r="G474">
        <f>VLOOKUP(A474,[2]Sheet1!$A:$D,2,FALSE)</f>
        <v>-1</v>
      </c>
      <c r="H474">
        <f>VLOOKUP(A474,[2]Sheet1!$A:$D,3,FALSE)</f>
        <v>-1</v>
      </c>
      <c r="I474">
        <f>VLOOKUP(A474,[2]Sheet1!$A:$D,4,FALSE)</f>
        <v>4</v>
      </c>
      <c r="J474" t="str">
        <f>VLOOKUP(A474,[3]Sheet1!$A:$C,2,FALSE)</f>
        <v>OBS1</v>
      </c>
      <c r="K474" t="str">
        <f>VLOOKUP(A474,[3]Sheet1!$A:$C,3,FALSE)</f>
        <v>T2</v>
      </c>
    </row>
    <row r="475" spans="1:11" x14ac:dyDescent="0.25">
      <c r="A475" s="2" t="s">
        <v>478</v>
      </c>
      <c r="B475">
        <v>52</v>
      </c>
      <c r="C475" t="s">
        <v>7</v>
      </c>
      <c r="D475" t="str">
        <f>VLOOKUP(A475,[1]Sheet1!$A:$D,2,FALSE)</f>
        <v>SIEMENS</v>
      </c>
      <c r="E475" t="str">
        <f>VLOOKUP(A475,[1]Sheet1!$A:$D,3,FALSE)</f>
        <v>Sonata</v>
      </c>
      <c r="F475">
        <f>VLOOKUP(A475,[1]Sheet1!$A:$D,4,FALSE)</f>
        <v>1.5</v>
      </c>
      <c r="G475">
        <f>VLOOKUP(A475,[2]Sheet1!$A:$D,2,FALSE)</f>
        <v>1</v>
      </c>
      <c r="H475">
        <f>VLOOKUP(A475,[2]Sheet1!$A:$D,3,FALSE)</f>
        <v>1</v>
      </c>
      <c r="I475">
        <f>VLOOKUP(A475,[2]Sheet1!$A:$D,4,FALSE)</f>
        <v>2</v>
      </c>
      <c r="J475" t="str">
        <f>VLOOKUP(A475,[3]Sheet1!$A:$C,2,FALSE)</f>
        <v>AUTO</v>
      </c>
      <c r="K475" t="str">
        <f>VLOOKUP(A475,[3]Sheet1!$A:$C,3,FALSE)</f>
        <v>ALL</v>
      </c>
    </row>
    <row r="476" spans="1:11" x14ac:dyDescent="0.25">
      <c r="A476" s="2" t="s">
        <v>479</v>
      </c>
      <c r="B476">
        <v>61</v>
      </c>
      <c r="C476" t="s">
        <v>7</v>
      </c>
      <c r="D476" t="str">
        <f>VLOOKUP(A476,[1]Sheet1!$A:$D,2,FALSE)</f>
        <v>Philips Medical Systems</v>
      </c>
      <c r="E476" t="str">
        <f>VLOOKUP(A476,[1]Sheet1!$A:$D,3,FALSE)</f>
        <v>Intera</v>
      </c>
      <c r="F476">
        <f>VLOOKUP(A476,[1]Sheet1!$A:$D,4,FALSE)</f>
        <v>1</v>
      </c>
      <c r="G476">
        <f>VLOOKUP(A476,[2]Sheet1!$A:$D,2,FALSE)</f>
        <v>-1</v>
      </c>
      <c r="H476">
        <f>VLOOKUP(A476,[2]Sheet1!$A:$D,3,FALSE)</f>
        <v>-1</v>
      </c>
      <c r="I476">
        <f>VLOOKUP(A476,[2]Sheet1!$A:$D,4,FALSE)</f>
        <v>4</v>
      </c>
      <c r="J476" t="str">
        <f>VLOOKUP(A476,[3]Sheet1!$A:$C,2,FALSE)</f>
        <v>AUTO</v>
      </c>
      <c r="K476" t="str">
        <f>VLOOKUP(A476,[3]Sheet1!$A:$C,3,FALSE)</f>
        <v>ALL</v>
      </c>
    </row>
    <row r="477" spans="1:11" x14ac:dyDescent="0.25">
      <c r="A477" s="2" t="s">
        <v>480</v>
      </c>
      <c r="B477">
        <v>72</v>
      </c>
      <c r="C477" t="s">
        <v>4</v>
      </c>
      <c r="D477" t="str">
        <f>VLOOKUP(A477,[1]Sheet1!$A:$D,2,FALSE)</f>
        <v>Philips Medical Systems</v>
      </c>
      <c r="E477" t="str">
        <f>VLOOKUP(A477,[1]Sheet1!$A:$D,3,FALSE)</f>
        <v>Achieva</v>
      </c>
      <c r="F477">
        <f>VLOOKUP(A477,[1]Sheet1!$A:$D,4,FALSE)</f>
        <v>1.5</v>
      </c>
      <c r="G477">
        <f>VLOOKUP(A477,[2]Sheet1!$A:$D,2,FALSE)</f>
        <v>-1</v>
      </c>
      <c r="H477">
        <f>VLOOKUP(A477,[2]Sheet1!$A:$D,3,FALSE)</f>
        <v>-1</v>
      </c>
      <c r="I477">
        <f>VLOOKUP(A477,[2]Sheet1!$A:$D,4,FALSE)</f>
        <v>4</v>
      </c>
      <c r="J477" t="str">
        <f>VLOOKUP(A477,[3]Sheet1!$A:$C,2,FALSE)</f>
        <v>AUTO</v>
      </c>
      <c r="K477" t="str">
        <f>VLOOKUP(A477,[3]Sheet1!$A:$C,3,FALSE)</f>
        <v>ALL</v>
      </c>
    </row>
    <row r="478" spans="1:11" x14ac:dyDescent="0.25">
      <c r="A478" s="2" t="s">
        <v>481</v>
      </c>
      <c r="B478">
        <v>74</v>
      </c>
      <c r="C478" t="s">
        <v>4</v>
      </c>
      <c r="D478" t="str">
        <f>VLOOKUP(A478,[1]Sheet1!$A:$D,2,FALSE)</f>
        <v>SIEMENS</v>
      </c>
      <c r="E478" t="str">
        <f>VLOOKUP(A478,[1]Sheet1!$A:$D,3,FALSE)</f>
        <v>Harmony</v>
      </c>
      <c r="F478">
        <f>VLOOKUP(A478,[1]Sheet1!$A:$D,4,FALSE)</f>
        <v>1</v>
      </c>
      <c r="G478">
        <f>VLOOKUP(A478,[2]Sheet1!$A:$D,2,FALSE)</f>
        <v>-1</v>
      </c>
      <c r="H478">
        <f>VLOOKUP(A478,[2]Sheet1!$A:$D,3,FALSE)</f>
        <v>-1</v>
      </c>
      <c r="I478">
        <f>VLOOKUP(A478,[2]Sheet1!$A:$D,4,FALSE)</f>
        <v>4</v>
      </c>
      <c r="J478" t="str">
        <f>VLOOKUP(A478,[3]Sheet1!$A:$C,2,FALSE)</f>
        <v>AUTO</v>
      </c>
      <c r="K478" t="str">
        <f>VLOOKUP(A478,[3]Sheet1!$A:$C,3,FALSE)</f>
        <v>ALL</v>
      </c>
    </row>
    <row r="479" spans="1:11" x14ac:dyDescent="0.25">
      <c r="A479" s="2" t="s">
        <v>482</v>
      </c>
      <c r="B479">
        <v>-1</v>
      </c>
      <c r="C479" t="s">
        <v>4</v>
      </c>
      <c r="D479" t="str">
        <f>VLOOKUP(A479,[1]Sheet1!$A:$D,2,FALSE)</f>
        <v>SIEMENS</v>
      </c>
      <c r="E479" t="str">
        <f>VLOOKUP(A479,[1]Sheet1!$A:$D,3,FALSE)</f>
        <v>Aera</v>
      </c>
      <c r="F479">
        <f>VLOOKUP(A479,[1]Sheet1!$A:$D,4,FALSE)</f>
        <v>1.5</v>
      </c>
      <c r="G479">
        <f>VLOOKUP(A479,[2]Sheet1!$A:$D,2,FALSE)</f>
        <v>0</v>
      </c>
      <c r="H479">
        <f>VLOOKUP(A479,[2]Sheet1!$A:$D,3,FALSE)</f>
        <v>-1</v>
      </c>
      <c r="I479">
        <f>VLOOKUP(A479,[2]Sheet1!$A:$D,4,FALSE)</f>
        <v>-1</v>
      </c>
      <c r="J479" t="str">
        <f>VLOOKUP(A479,[3]Sheet1!$A:$C,2,FALSE)</f>
        <v>AUTO</v>
      </c>
      <c r="K479" t="str">
        <f>VLOOKUP(A479,[3]Sheet1!$A:$C,3,FALSE)</f>
        <v>ALL</v>
      </c>
    </row>
    <row r="480" spans="1:11" x14ac:dyDescent="0.25">
      <c r="A480" s="2" t="s">
        <v>483</v>
      </c>
      <c r="B480">
        <v>73</v>
      </c>
      <c r="C480" t="s">
        <v>4</v>
      </c>
      <c r="D480" t="str">
        <f>VLOOKUP(A480,[1]Sheet1!$A:$D,2,FALSE)</f>
        <v>SIEMENS</v>
      </c>
      <c r="E480" t="str">
        <f>VLOOKUP(A480,[1]Sheet1!$A:$D,3,FALSE)</f>
        <v>MAGNETOM_ESSENZA</v>
      </c>
      <c r="F480">
        <f>VLOOKUP(A480,[1]Sheet1!$A:$D,4,FALSE)</f>
        <v>1.5</v>
      </c>
      <c r="G480">
        <f>VLOOKUP(A480,[2]Sheet1!$A:$D,2,FALSE)</f>
        <v>0</v>
      </c>
      <c r="H480">
        <f>VLOOKUP(A480,[2]Sheet1!$A:$D,3,FALSE)</f>
        <v>0</v>
      </c>
      <c r="I480">
        <f>VLOOKUP(A480,[2]Sheet1!$A:$D,4,FALSE)</f>
        <v>4</v>
      </c>
      <c r="J480" t="str">
        <f>VLOOKUP(A480,[3]Sheet1!$A:$C,2,FALSE)</f>
        <v>OBS1</v>
      </c>
      <c r="K480" t="str">
        <f>VLOOKUP(A480,[3]Sheet1!$A:$C,3,FALSE)</f>
        <v>T2</v>
      </c>
    </row>
    <row r="481" spans="1:11" x14ac:dyDescent="0.25">
      <c r="A481" s="2" t="s">
        <v>484</v>
      </c>
      <c r="B481">
        <v>67</v>
      </c>
      <c r="C481" t="s">
        <v>7</v>
      </c>
      <c r="D481" t="str">
        <f>VLOOKUP(A481,[1]Sheet1!$A:$D,2,FALSE)</f>
        <v>SIEMENS</v>
      </c>
      <c r="E481" t="str">
        <f>VLOOKUP(A481,[1]Sheet1!$A:$D,3,FALSE)</f>
        <v>Avanto</v>
      </c>
      <c r="F481">
        <f>VLOOKUP(A481,[1]Sheet1!$A:$D,4,FALSE)</f>
        <v>1.5</v>
      </c>
      <c r="G481">
        <f>VLOOKUP(A481,[2]Sheet1!$A:$D,2,FALSE)</f>
        <v>0</v>
      </c>
      <c r="H481">
        <f>VLOOKUP(A481,[2]Sheet1!$A:$D,3,FALSE)</f>
        <v>0</v>
      </c>
      <c r="I481">
        <f>VLOOKUP(A481,[2]Sheet1!$A:$D,4,FALSE)</f>
        <v>3</v>
      </c>
      <c r="J481" t="str">
        <f>VLOOKUP(A481,[3]Sheet1!$A:$C,2,FALSE)</f>
        <v>OBS1</v>
      </c>
      <c r="K481" t="str">
        <f>VLOOKUP(A481,[3]Sheet1!$A:$C,3,FALSE)</f>
        <v>FLAIR</v>
      </c>
    </row>
    <row r="482" spans="1:11" x14ac:dyDescent="0.25">
      <c r="A482" s="2" t="s">
        <v>485</v>
      </c>
      <c r="B482">
        <v>74</v>
      </c>
      <c r="C482" t="s">
        <v>4</v>
      </c>
      <c r="D482" t="str">
        <f>VLOOKUP(A482,[1]Sheet1!$A:$D,2,FALSE)</f>
        <v>GE MEDICAL SYSTEMS</v>
      </c>
      <c r="E482" t="str">
        <f>VLOOKUP(A482,[1]Sheet1!$A:$D,3,FALSE)</f>
        <v>GENESIS_SIGNA</v>
      </c>
      <c r="F482">
        <f>VLOOKUP(A482,[1]Sheet1!$A:$D,4,FALSE)</f>
        <v>1.5</v>
      </c>
      <c r="G482">
        <f>VLOOKUP(A482,[2]Sheet1!$A:$D,2,FALSE)</f>
        <v>-1</v>
      </c>
      <c r="H482">
        <f>VLOOKUP(A482,[2]Sheet1!$A:$D,3,FALSE)</f>
        <v>-1</v>
      </c>
      <c r="I482">
        <f>VLOOKUP(A482,[2]Sheet1!$A:$D,4,FALSE)</f>
        <v>3</v>
      </c>
      <c r="J482" t="str">
        <f>VLOOKUP(A482,[3]Sheet1!$A:$C,2,FALSE)</f>
        <v>AUTO</v>
      </c>
      <c r="K482" t="str">
        <f>VLOOKUP(A482,[3]Sheet1!$A:$C,3,FALSE)</f>
        <v>ALL</v>
      </c>
    </row>
    <row r="483" spans="1:11" x14ac:dyDescent="0.25">
      <c r="A483" s="2" t="s">
        <v>486</v>
      </c>
      <c r="B483">
        <v>56</v>
      </c>
      <c r="C483" t="s">
        <v>7</v>
      </c>
      <c r="D483" t="str">
        <f>VLOOKUP(A483,[1]Sheet1!$A:$D,2,FALSE)</f>
        <v>Philips Healthcare</v>
      </c>
      <c r="E483" t="str">
        <f>VLOOKUP(A483,[1]Sheet1!$A:$D,3,FALSE)</f>
        <v>Ingenia</v>
      </c>
      <c r="F483">
        <f>VLOOKUP(A483,[1]Sheet1!$A:$D,4,FALSE)</f>
        <v>3</v>
      </c>
      <c r="G483">
        <f>VLOOKUP(A483,[2]Sheet1!$A:$D,2,FALSE)</f>
        <v>0</v>
      </c>
      <c r="H483">
        <f>VLOOKUP(A483,[2]Sheet1!$A:$D,3,FALSE)</f>
        <v>0</v>
      </c>
      <c r="I483">
        <f>VLOOKUP(A483,[2]Sheet1!$A:$D,4,FALSE)</f>
        <v>4</v>
      </c>
      <c r="J483" t="str">
        <f>VLOOKUP(A483,[3]Sheet1!$A:$C,2,FALSE)</f>
        <v>OBS1</v>
      </c>
      <c r="K483" t="str">
        <f>VLOOKUP(A483,[3]Sheet1!$A:$C,3,FALSE)</f>
        <v>T2</v>
      </c>
    </row>
    <row r="484" spans="1:11" x14ac:dyDescent="0.25">
      <c r="A484" s="2" t="s">
        <v>487</v>
      </c>
      <c r="B484">
        <v>53</v>
      </c>
      <c r="C484" t="s">
        <v>4</v>
      </c>
      <c r="D484" t="str">
        <f>VLOOKUP(A484,[1]Sheet1!$A:$D,2,FALSE)</f>
        <v>SIEMENS</v>
      </c>
      <c r="E484" t="str">
        <f>VLOOKUP(A484,[1]Sheet1!$A:$D,3,FALSE)</f>
        <v>Avanto</v>
      </c>
      <c r="F484">
        <f>VLOOKUP(A484,[1]Sheet1!$A:$D,4,FALSE)</f>
        <v>1.5</v>
      </c>
      <c r="G484">
        <f>VLOOKUP(A484,[2]Sheet1!$A:$D,2,FALSE)</f>
        <v>-1</v>
      </c>
      <c r="H484">
        <f>VLOOKUP(A484,[2]Sheet1!$A:$D,3,FALSE)</f>
        <v>-1</v>
      </c>
      <c r="I484">
        <f>VLOOKUP(A484,[2]Sheet1!$A:$D,4,FALSE)</f>
        <v>4</v>
      </c>
      <c r="J484" t="str">
        <f>VLOOKUP(A484,[3]Sheet1!$A:$C,2,FALSE)</f>
        <v>OBS1</v>
      </c>
      <c r="K484" t="str">
        <f>VLOOKUP(A484,[3]Sheet1!$A:$C,3,FALSE)</f>
        <v>T2</v>
      </c>
    </row>
    <row r="485" spans="1:11" x14ac:dyDescent="0.25">
      <c r="A485" s="2" t="s">
        <v>488</v>
      </c>
      <c r="B485">
        <v>-1</v>
      </c>
      <c r="C485" t="s">
        <v>4</v>
      </c>
      <c r="D485" t="str">
        <f>VLOOKUP(A485,[1]Sheet1!$A:$D,2,FALSE)</f>
        <v>GE MEDICAL SYSTEMS</v>
      </c>
      <c r="E485" t="str">
        <f>VLOOKUP(A485,[1]Sheet1!$A:$D,3,FALSE)</f>
        <v>SIGNA Artist</v>
      </c>
      <c r="F485">
        <f>VLOOKUP(A485,[1]Sheet1!$A:$D,4,FALSE)</f>
        <v>1.5</v>
      </c>
      <c r="G485">
        <f>VLOOKUP(A485,[2]Sheet1!$A:$D,2,FALSE)</f>
        <v>0</v>
      </c>
      <c r="H485">
        <f>VLOOKUP(A485,[2]Sheet1!$A:$D,3,FALSE)</f>
        <v>-1</v>
      </c>
      <c r="I485">
        <f>VLOOKUP(A485,[2]Sheet1!$A:$D,4,FALSE)</f>
        <v>-1</v>
      </c>
      <c r="J485" t="str">
        <f>VLOOKUP(A485,[3]Sheet1!$A:$C,2,FALSE)</f>
        <v>OBS1</v>
      </c>
      <c r="K485" t="str">
        <f>VLOOKUP(A485,[3]Sheet1!$A:$C,3,FALSE)</f>
        <v>T2</v>
      </c>
    </row>
    <row r="486" spans="1:11" x14ac:dyDescent="0.25">
      <c r="A486" s="2" t="s">
        <v>489</v>
      </c>
      <c r="B486">
        <v>56</v>
      </c>
      <c r="C486" t="s">
        <v>7</v>
      </c>
      <c r="D486" t="str">
        <f>VLOOKUP(A486,[1]Sheet1!$A:$D,2,FALSE)</f>
        <v>GE MEDICAL SYSTEMS</v>
      </c>
      <c r="E486" t="str">
        <f>VLOOKUP(A486,[1]Sheet1!$A:$D,3,FALSE)</f>
        <v>DISCOVERY MR450</v>
      </c>
      <c r="F486">
        <f>VLOOKUP(A486,[1]Sheet1!$A:$D,4,FALSE)</f>
        <v>1.5</v>
      </c>
      <c r="G486">
        <f>VLOOKUP(A486,[2]Sheet1!$A:$D,2,FALSE)</f>
        <v>0</v>
      </c>
      <c r="H486">
        <f>VLOOKUP(A486,[2]Sheet1!$A:$D,3,FALSE)</f>
        <v>-1</v>
      </c>
      <c r="I486">
        <f>VLOOKUP(A486,[2]Sheet1!$A:$D,4,FALSE)</f>
        <v>4</v>
      </c>
      <c r="J486" t="str">
        <f>VLOOKUP(A486,[3]Sheet1!$A:$C,2,FALSE)</f>
        <v>AUTO</v>
      </c>
      <c r="K486" t="str">
        <f>VLOOKUP(A486,[3]Sheet1!$A:$C,3,FALSE)</f>
        <v>ALL</v>
      </c>
    </row>
    <row r="487" spans="1:11" x14ac:dyDescent="0.25">
      <c r="A487" s="2" t="s">
        <v>490</v>
      </c>
      <c r="B487">
        <v>-1</v>
      </c>
      <c r="C487" t="s">
        <v>4</v>
      </c>
      <c r="D487" t="str">
        <f>VLOOKUP(A487,[1]Sheet1!$A:$D,2,FALSE)</f>
        <v>SIEMENS</v>
      </c>
      <c r="E487" t="str">
        <f>VLOOKUP(A487,[1]Sheet1!$A:$D,3,FALSE)</f>
        <v>Aera</v>
      </c>
      <c r="F487">
        <f>VLOOKUP(A487,[1]Sheet1!$A:$D,4,FALSE)</f>
        <v>1.5</v>
      </c>
      <c r="G487">
        <f>VLOOKUP(A487,[2]Sheet1!$A:$D,2,FALSE)</f>
        <v>0</v>
      </c>
      <c r="H487">
        <f>VLOOKUP(A487,[2]Sheet1!$A:$D,3,FALSE)</f>
        <v>0</v>
      </c>
      <c r="I487">
        <f>VLOOKUP(A487,[2]Sheet1!$A:$D,4,FALSE)</f>
        <v>4</v>
      </c>
      <c r="J487" t="str">
        <f>VLOOKUP(A487,[3]Sheet1!$A:$C,2,FALSE)</f>
        <v>AUTO</v>
      </c>
      <c r="K487" t="str">
        <f>VLOOKUP(A487,[3]Sheet1!$A:$C,3,FALSE)</f>
        <v>ALL</v>
      </c>
    </row>
    <row r="488" spans="1:11" x14ac:dyDescent="0.25">
      <c r="A488" s="2" t="s">
        <v>491</v>
      </c>
      <c r="B488">
        <v>39</v>
      </c>
      <c r="C488" t="s">
        <v>4</v>
      </c>
      <c r="D488" t="str">
        <f>VLOOKUP(A488,[1]Sheet1!$A:$D,2,FALSE)</f>
        <v>Philips Medical Systems</v>
      </c>
      <c r="E488" t="str">
        <f>VLOOKUP(A488,[1]Sheet1!$A:$D,3,FALSE)</f>
        <v>Achieva</v>
      </c>
      <c r="F488">
        <f>VLOOKUP(A488,[1]Sheet1!$A:$D,4,FALSE)</f>
        <v>1.5</v>
      </c>
      <c r="G488">
        <f>VLOOKUP(A488,[2]Sheet1!$A:$D,2,FALSE)</f>
        <v>1</v>
      </c>
      <c r="H488">
        <f>VLOOKUP(A488,[2]Sheet1!$A:$D,3,FALSE)</f>
        <v>1</v>
      </c>
      <c r="I488">
        <f>VLOOKUP(A488,[2]Sheet1!$A:$D,4,FALSE)</f>
        <v>2</v>
      </c>
      <c r="J488" t="str">
        <f>VLOOKUP(A488,[3]Sheet1!$A:$C,2,FALSE)</f>
        <v>AUTO</v>
      </c>
      <c r="K488" t="str">
        <f>VLOOKUP(A488,[3]Sheet1!$A:$C,3,FALSE)</f>
        <v>ALL</v>
      </c>
    </row>
    <row r="489" spans="1:11" x14ac:dyDescent="0.25">
      <c r="A489" s="2" t="s">
        <v>492</v>
      </c>
      <c r="B489">
        <v>61</v>
      </c>
      <c r="C489" t="s">
        <v>4</v>
      </c>
      <c r="D489" t="str">
        <f>VLOOKUP(A489,[1]Sheet1!$A:$D,2,FALSE)</f>
        <v>SIEMENS</v>
      </c>
      <c r="E489" t="str">
        <f>VLOOKUP(A489,[1]Sheet1!$A:$D,3,FALSE)</f>
        <v>Aera</v>
      </c>
      <c r="F489">
        <f>VLOOKUP(A489,[1]Sheet1!$A:$D,4,FALSE)</f>
        <v>1.5</v>
      </c>
      <c r="G489">
        <f>VLOOKUP(A489,[2]Sheet1!$A:$D,2,FALSE)</f>
        <v>0</v>
      </c>
      <c r="H489">
        <f>VLOOKUP(A489,[2]Sheet1!$A:$D,3,FALSE)</f>
        <v>-1</v>
      </c>
      <c r="I489">
        <f>VLOOKUP(A489,[2]Sheet1!$A:$D,4,FALSE)</f>
        <v>4</v>
      </c>
      <c r="J489" t="str">
        <f>VLOOKUP(A489,[3]Sheet1!$A:$C,2,FALSE)</f>
        <v>AUTO</v>
      </c>
      <c r="K489" t="str">
        <f>VLOOKUP(A489,[3]Sheet1!$A:$C,3,FALSE)</f>
        <v>ALL</v>
      </c>
    </row>
    <row r="490" spans="1:11" x14ac:dyDescent="0.25">
      <c r="A490" s="2" t="s">
        <v>493</v>
      </c>
      <c r="B490">
        <v>20</v>
      </c>
      <c r="C490" t="s">
        <v>4</v>
      </c>
      <c r="D490" t="str">
        <f>VLOOKUP(A490,[1]Sheet1!$A:$D,2,FALSE)</f>
        <v>SIEMENS</v>
      </c>
      <c r="E490" t="str">
        <f>VLOOKUP(A490,[1]Sheet1!$A:$D,3,FALSE)</f>
        <v>MAGNETOM EXPERT</v>
      </c>
      <c r="F490">
        <f>VLOOKUP(A490,[1]Sheet1!$A:$D,4,FALSE)</f>
        <v>1</v>
      </c>
      <c r="G490">
        <f>VLOOKUP(A490,[2]Sheet1!$A:$D,2,FALSE)</f>
        <v>-1</v>
      </c>
      <c r="H490">
        <f>VLOOKUP(A490,[2]Sheet1!$A:$D,3,FALSE)</f>
        <v>-1</v>
      </c>
      <c r="I490">
        <f>VLOOKUP(A490,[2]Sheet1!$A:$D,4,FALSE)</f>
        <v>3</v>
      </c>
      <c r="J490" t="str">
        <f>VLOOKUP(A490,[3]Sheet1!$A:$C,2,FALSE)</f>
        <v>AUTO</v>
      </c>
      <c r="K490" t="str">
        <f>VLOOKUP(A490,[3]Sheet1!$A:$C,3,FALSE)</f>
        <v>ALL</v>
      </c>
    </row>
    <row r="491" spans="1:11" x14ac:dyDescent="0.25">
      <c r="A491" s="2" t="s">
        <v>494</v>
      </c>
      <c r="B491">
        <v>61</v>
      </c>
      <c r="C491" t="s">
        <v>7</v>
      </c>
      <c r="D491" t="str">
        <f>VLOOKUP(A491,[1]Sheet1!$A:$D,2,FALSE)</f>
        <v>Philips Medical Systems</v>
      </c>
      <c r="E491" t="str">
        <f>VLOOKUP(A491,[1]Sheet1!$A:$D,3,FALSE)</f>
        <v>Achieva</v>
      </c>
      <c r="F491">
        <f>VLOOKUP(A491,[1]Sheet1!$A:$D,4,FALSE)</f>
        <v>1.5</v>
      </c>
      <c r="G491">
        <f>VLOOKUP(A491,[2]Sheet1!$A:$D,2,FALSE)</f>
        <v>1</v>
      </c>
      <c r="H491">
        <f>VLOOKUP(A491,[2]Sheet1!$A:$D,3,FALSE)</f>
        <v>1</v>
      </c>
      <c r="I491">
        <f>VLOOKUP(A491,[2]Sheet1!$A:$D,4,FALSE)</f>
        <v>2</v>
      </c>
      <c r="J491" t="str">
        <f>VLOOKUP(A491,[3]Sheet1!$A:$C,2,FALSE)</f>
        <v>OBS2</v>
      </c>
      <c r="K491" t="str">
        <f>VLOOKUP(A491,[3]Sheet1!$A:$C,3,FALSE)</f>
        <v>FLAIR</v>
      </c>
    </row>
    <row r="492" spans="1:11" x14ac:dyDescent="0.25">
      <c r="A492" s="2" t="s">
        <v>495</v>
      </c>
      <c r="B492">
        <v>63</v>
      </c>
      <c r="C492" t="s">
        <v>4</v>
      </c>
      <c r="D492" t="str">
        <f>VLOOKUP(A492,[1]Sheet1!$A:$D,2,FALSE)</f>
        <v>SIEMENS</v>
      </c>
      <c r="E492" t="str">
        <f>VLOOKUP(A492,[1]Sheet1!$A:$D,3,FALSE)</f>
        <v>Harmony</v>
      </c>
      <c r="F492">
        <f>VLOOKUP(A492,[1]Sheet1!$A:$D,4,FALSE)</f>
        <v>1</v>
      </c>
      <c r="G492">
        <f>VLOOKUP(A492,[2]Sheet1!$A:$D,2,FALSE)</f>
        <v>-1</v>
      </c>
      <c r="H492">
        <f>VLOOKUP(A492,[2]Sheet1!$A:$D,3,FALSE)</f>
        <v>-1</v>
      </c>
      <c r="I492">
        <f>VLOOKUP(A492,[2]Sheet1!$A:$D,4,FALSE)</f>
        <v>4</v>
      </c>
      <c r="J492" t="str">
        <f>VLOOKUP(A492,[3]Sheet1!$A:$C,2,FALSE)</f>
        <v>AUTO</v>
      </c>
      <c r="K492" t="str">
        <f>VLOOKUP(A492,[3]Sheet1!$A:$C,3,FALSE)</f>
        <v>ALL</v>
      </c>
    </row>
    <row r="493" spans="1:11" x14ac:dyDescent="0.25">
      <c r="A493" s="2" t="s">
        <v>496</v>
      </c>
      <c r="B493">
        <v>35</v>
      </c>
      <c r="C493" t="s">
        <v>7</v>
      </c>
      <c r="D493" t="str">
        <f>VLOOKUP(A493,[1]Sheet1!$A:$D,2,FALSE)</f>
        <v>Philips Medical Systems</v>
      </c>
      <c r="E493" t="str">
        <f>VLOOKUP(A493,[1]Sheet1!$A:$D,3,FALSE)</f>
        <v>NT Intera</v>
      </c>
      <c r="F493">
        <f>VLOOKUP(A493,[1]Sheet1!$A:$D,4,FALSE)</f>
        <v>1.5</v>
      </c>
      <c r="G493">
        <f>VLOOKUP(A493,[2]Sheet1!$A:$D,2,FALSE)</f>
        <v>1</v>
      </c>
      <c r="H493">
        <f>VLOOKUP(A493,[2]Sheet1!$A:$D,3,FALSE)</f>
        <v>0</v>
      </c>
      <c r="I493">
        <f>VLOOKUP(A493,[2]Sheet1!$A:$D,4,FALSE)</f>
        <v>-1</v>
      </c>
      <c r="J493" t="str">
        <f>VLOOKUP(A493,[3]Sheet1!$A:$C,2,FALSE)</f>
        <v>OBS1</v>
      </c>
      <c r="K493" t="str">
        <f>VLOOKUP(A493,[3]Sheet1!$A:$C,3,FALSE)</f>
        <v>FLAIR</v>
      </c>
    </row>
    <row r="494" spans="1:11" x14ac:dyDescent="0.25">
      <c r="A494" s="2" t="s">
        <v>497</v>
      </c>
      <c r="B494">
        <v>-1</v>
      </c>
      <c r="C494" t="s">
        <v>4</v>
      </c>
      <c r="D494" t="str">
        <f>VLOOKUP(A494,[1]Sheet1!$A:$D,2,FALSE)</f>
        <v>GE MEDICAL SYSTEMS</v>
      </c>
      <c r="E494" t="str">
        <f>VLOOKUP(A494,[1]Sheet1!$A:$D,3,FALSE)</f>
        <v>DISCOVERY MR750</v>
      </c>
      <c r="F494">
        <f>VLOOKUP(A494,[1]Sheet1!$A:$D,4,FALSE)</f>
        <v>3</v>
      </c>
      <c r="G494">
        <f>VLOOKUP(A494,[2]Sheet1!$A:$D,2,FALSE)</f>
        <v>-1</v>
      </c>
      <c r="H494">
        <f>VLOOKUP(A494,[2]Sheet1!$A:$D,3,FALSE)</f>
        <v>-1</v>
      </c>
      <c r="I494">
        <f>VLOOKUP(A494,[2]Sheet1!$A:$D,4,FALSE)</f>
        <v>2</v>
      </c>
      <c r="J494" t="str">
        <f>VLOOKUP(A494,[3]Sheet1!$A:$C,2,FALSE)</f>
        <v>AUTO</v>
      </c>
      <c r="K494" t="str">
        <f>VLOOKUP(A494,[3]Sheet1!$A:$C,3,FALSE)</f>
        <v>ALL</v>
      </c>
    </row>
    <row r="495" spans="1:11" x14ac:dyDescent="0.25">
      <c r="A495" s="2" t="s">
        <v>498</v>
      </c>
      <c r="B495">
        <v>82</v>
      </c>
      <c r="C495" t="s">
        <v>4</v>
      </c>
      <c r="D495" t="str">
        <f>VLOOKUP(A495,[1]Sheet1!$A:$D,2,FALSE)</f>
        <v>Philips Medical Systems</v>
      </c>
      <c r="E495" t="str">
        <f>VLOOKUP(A495,[1]Sheet1!$A:$D,3,FALSE)</f>
        <v>Achieva</v>
      </c>
      <c r="F495">
        <f>VLOOKUP(A495,[1]Sheet1!$A:$D,4,FALSE)</f>
        <v>1.5</v>
      </c>
      <c r="G495">
        <f>VLOOKUP(A495,[2]Sheet1!$A:$D,2,FALSE)</f>
        <v>0</v>
      </c>
      <c r="H495">
        <f>VLOOKUP(A495,[2]Sheet1!$A:$D,3,FALSE)</f>
        <v>-1</v>
      </c>
      <c r="I495">
        <f>VLOOKUP(A495,[2]Sheet1!$A:$D,4,FALSE)</f>
        <v>4</v>
      </c>
      <c r="J495" t="str">
        <f>VLOOKUP(A495,[3]Sheet1!$A:$C,2,FALSE)</f>
        <v>OBS1</v>
      </c>
      <c r="K495" t="str">
        <f>VLOOKUP(A495,[3]Sheet1!$A:$C,3,FALSE)</f>
        <v>T2</v>
      </c>
    </row>
    <row r="496" spans="1:11" x14ac:dyDescent="0.25">
      <c r="A496" s="2" t="s">
        <v>499</v>
      </c>
      <c r="B496">
        <v>58</v>
      </c>
      <c r="C496" t="s">
        <v>7</v>
      </c>
      <c r="D496" t="str">
        <f>VLOOKUP(A496,[1]Sheet1!$A:$D,2,FALSE)</f>
        <v>Philips Medical Systems</v>
      </c>
      <c r="E496" t="str">
        <f>VLOOKUP(A496,[1]Sheet1!$A:$D,3,FALSE)</f>
        <v>Intera</v>
      </c>
      <c r="F496">
        <f>VLOOKUP(A496,[1]Sheet1!$A:$D,4,FALSE)</f>
        <v>1.5</v>
      </c>
      <c r="G496">
        <f>VLOOKUP(A496,[2]Sheet1!$A:$D,2,FALSE)</f>
        <v>1</v>
      </c>
      <c r="H496">
        <f>VLOOKUP(A496,[2]Sheet1!$A:$D,3,FALSE)</f>
        <v>1</v>
      </c>
      <c r="I496">
        <f>VLOOKUP(A496,[2]Sheet1!$A:$D,4,FALSE)</f>
        <v>2</v>
      </c>
      <c r="J496" t="str">
        <f>VLOOKUP(A496,[3]Sheet1!$A:$C,2,FALSE)</f>
        <v>OBS2</v>
      </c>
      <c r="K496" t="str">
        <f>VLOOKUP(A496,[3]Sheet1!$A:$C,3,FALSE)</f>
        <v>FLAIR</v>
      </c>
    </row>
    <row r="497" spans="1:11" x14ac:dyDescent="0.25">
      <c r="A497" s="2" t="s">
        <v>500</v>
      </c>
      <c r="B497">
        <v>48</v>
      </c>
      <c r="C497" t="s">
        <v>7</v>
      </c>
      <c r="D497" t="str">
        <f>VLOOKUP(A497,[1]Sheet1!$A:$D,2,FALSE)</f>
        <v>GE MEDICAL SYSTEMS</v>
      </c>
      <c r="E497" t="str">
        <f>VLOOKUP(A497,[1]Sheet1!$A:$D,3,FALSE)</f>
        <v>Optima MR450w</v>
      </c>
      <c r="F497">
        <f>VLOOKUP(A497,[1]Sheet1!$A:$D,4,FALSE)</f>
        <v>1.5</v>
      </c>
      <c r="G497">
        <f>VLOOKUP(A497,[2]Sheet1!$A:$D,2,FALSE)</f>
        <v>-1</v>
      </c>
      <c r="H497">
        <f>VLOOKUP(A497,[2]Sheet1!$A:$D,3,FALSE)</f>
        <v>-1</v>
      </c>
      <c r="I497">
        <f>VLOOKUP(A497,[2]Sheet1!$A:$D,4,FALSE)</f>
        <v>4</v>
      </c>
      <c r="J497" t="str">
        <f>VLOOKUP(A497,[3]Sheet1!$A:$C,2,FALSE)</f>
        <v>AUTO</v>
      </c>
      <c r="K497" t="str">
        <f>VLOOKUP(A497,[3]Sheet1!$A:$C,3,FALSE)</f>
        <v>ALL</v>
      </c>
    </row>
    <row r="498" spans="1:11" x14ac:dyDescent="0.25">
      <c r="A498" s="2" t="s">
        <v>501</v>
      </c>
      <c r="B498">
        <v>49</v>
      </c>
      <c r="C498" t="s">
        <v>4</v>
      </c>
      <c r="D498" t="str">
        <f>VLOOKUP(A498,[1]Sheet1!$A:$D,2,FALSE)</f>
        <v>Philips Medical Systems</v>
      </c>
      <c r="E498" t="str">
        <f>VLOOKUP(A498,[1]Sheet1!$A:$D,3,FALSE)</f>
        <v>Intera</v>
      </c>
      <c r="F498">
        <f>VLOOKUP(A498,[1]Sheet1!$A:$D,4,FALSE)</f>
        <v>1</v>
      </c>
      <c r="G498">
        <f>VLOOKUP(A498,[2]Sheet1!$A:$D,2,FALSE)</f>
        <v>-1</v>
      </c>
      <c r="H498">
        <f>VLOOKUP(A498,[2]Sheet1!$A:$D,3,FALSE)</f>
        <v>-1</v>
      </c>
      <c r="I498">
        <f>VLOOKUP(A498,[2]Sheet1!$A:$D,4,FALSE)</f>
        <v>4</v>
      </c>
      <c r="J498" t="str">
        <f>VLOOKUP(A498,[3]Sheet1!$A:$C,2,FALSE)</f>
        <v>AUTO</v>
      </c>
      <c r="K498" t="str">
        <f>VLOOKUP(A498,[3]Sheet1!$A:$C,3,FALSE)</f>
        <v>ALL</v>
      </c>
    </row>
    <row r="499" spans="1:11" x14ac:dyDescent="0.25">
      <c r="A499" s="2" t="s">
        <v>502</v>
      </c>
      <c r="B499">
        <v>70</v>
      </c>
      <c r="C499" t="s">
        <v>4</v>
      </c>
      <c r="D499" t="str">
        <f>VLOOKUP(A499,[1]Sheet1!$A:$D,2,FALSE)</f>
        <v>GE MEDICAL SYSTEMS</v>
      </c>
      <c r="E499" t="str">
        <f>VLOOKUP(A499,[1]Sheet1!$A:$D,3,FALSE)</f>
        <v>GENESIS_SIGNA</v>
      </c>
      <c r="F499">
        <f>VLOOKUP(A499,[1]Sheet1!$A:$D,4,FALSE)</f>
        <v>1</v>
      </c>
      <c r="G499">
        <f>VLOOKUP(A499,[2]Sheet1!$A:$D,2,FALSE)</f>
        <v>-1</v>
      </c>
      <c r="H499">
        <f>VLOOKUP(A499,[2]Sheet1!$A:$D,3,FALSE)</f>
        <v>-1</v>
      </c>
      <c r="I499">
        <f>VLOOKUP(A499,[2]Sheet1!$A:$D,4,FALSE)</f>
        <v>4</v>
      </c>
      <c r="J499" t="str">
        <f>VLOOKUP(A499,[3]Sheet1!$A:$C,2,FALSE)</f>
        <v>AUTO</v>
      </c>
      <c r="K499" t="str">
        <f>VLOOKUP(A499,[3]Sheet1!$A:$C,3,FALSE)</f>
        <v>ALL</v>
      </c>
    </row>
    <row r="500" spans="1:11" x14ac:dyDescent="0.25">
      <c r="A500" s="2" t="s">
        <v>503</v>
      </c>
      <c r="B500">
        <v>34</v>
      </c>
      <c r="C500" t="s">
        <v>7</v>
      </c>
      <c r="D500" t="str">
        <f>VLOOKUP(A500,[1]Sheet1!$A:$D,2,FALSE)</f>
        <v>SIEMENS</v>
      </c>
      <c r="E500" t="str">
        <f>VLOOKUP(A500,[1]Sheet1!$A:$D,3,FALSE)</f>
        <v>Symphony</v>
      </c>
      <c r="F500">
        <f>VLOOKUP(A500,[1]Sheet1!$A:$D,4,FALSE)</f>
        <v>1.5</v>
      </c>
      <c r="G500">
        <f>VLOOKUP(A500,[2]Sheet1!$A:$D,2,FALSE)</f>
        <v>1</v>
      </c>
      <c r="H500">
        <f>VLOOKUP(A500,[2]Sheet1!$A:$D,3,FALSE)</f>
        <v>1</v>
      </c>
      <c r="I500">
        <f>VLOOKUP(A500,[2]Sheet1!$A:$D,4,FALSE)</f>
        <v>2</v>
      </c>
      <c r="J500" t="str">
        <f>VLOOKUP(A500,[3]Sheet1!$A:$C,2,FALSE)</f>
        <v>AUTO</v>
      </c>
      <c r="K500" t="str">
        <f>VLOOKUP(A500,[3]Sheet1!$A:$C,3,FALSE)</f>
        <v>ALL</v>
      </c>
    </row>
    <row r="501" spans="1:11" x14ac:dyDescent="0.25">
      <c r="A501" s="2" t="s">
        <v>504</v>
      </c>
      <c r="B501">
        <v>65</v>
      </c>
      <c r="C501" t="s">
        <v>7</v>
      </c>
      <c r="D501" t="str">
        <f>VLOOKUP(A501,[1]Sheet1!$A:$D,2,FALSE)</f>
        <v>SIEMENS</v>
      </c>
      <c r="E501" t="str">
        <f>VLOOKUP(A501,[1]Sheet1!$A:$D,3,FALSE)</f>
        <v>MAGNETOM EXPERT</v>
      </c>
      <c r="F501">
        <f>VLOOKUP(A501,[1]Sheet1!$A:$D,4,FALSE)</f>
        <v>1</v>
      </c>
      <c r="G501">
        <f>VLOOKUP(A501,[2]Sheet1!$A:$D,2,FALSE)</f>
        <v>-1</v>
      </c>
      <c r="H501">
        <f>VLOOKUP(A501,[2]Sheet1!$A:$D,3,FALSE)</f>
        <v>-1</v>
      </c>
      <c r="I501">
        <f>VLOOKUP(A501,[2]Sheet1!$A:$D,4,FALSE)</f>
        <v>4</v>
      </c>
      <c r="J501" t="str">
        <f>VLOOKUP(A501,[3]Sheet1!$A:$C,2,FALSE)</f>
        <v>OBS1</v>
      </c>
      <c r="K501" t="str">
        <f>VLOOKUP(A501,[3]Sheet1!$A:$C,3,FALSE)</f>
        <v>FLAIR</v>
      </c>
    </row>
    <row r="502" spans="1:11" x14ac:dyDescent="0.25">
      <c r="A502" s="2" t="s">
        <v>505</v>
      </c>
      <c r="B502">
        <v>50</v>
      </c>
      <c r="C502" t="s">
        <v>4</v>
      </c>
      <c r="D502" t="str">
        <f>VLOOKUP(A502,[1]Sheet1!$A:$D,2,FALSE)</f>
        <v>SIEMENS</v>
      </c>
      <c r="E502" t="str">
        <f>VLOOKUP(A502,[1]Sheet1!$A:$D,3,FALSE)</f>
        <v>MAGNETOM_ESSENZA</v>
      </c>
      <c r="F502">
        <f>VLOOKUP(A502,[1]Sheet1!$A:$D,4,FALSE)</f>
        <v>1.5</v>
      </c>
      <c r="G502">
        <f>VLOOKUP(A502,[2]Sheet1!$A:$D,2,FALSE)</f>
        <v>0</v>
      </c>
      <c r="H502">
        <f>VLOOKUP(A502,[2]Sheet1!$A:$D,3,FALSE)</f>
        <v>-1</v>
      </c>
      <c r="I502">
        <f>VLOOKUP(A502,[2]Sheet1!$A:$D,4,FALSE)</f>
        <v>4</v>
      </c>
      <c r="J502" t="str">
        <f>VLOOKUP(A502,[3]Sheet1!$A:$C,2,FALSE)</f>
        <v>OBS1</v>
      </c>
      <c r="K502" t="str">
        <f>VLOOKUP(A502,[3]Sheet1!$A:$C,3,FALSE)</f>
        <v>T2</v>
      </c>
    </row>
    <row r="503" spans="1:11" x14ac:dyDescent="0.25">
      <c r="A503" s="2" t="s">
        <v>506</v>
      </c>
      <c r="B503">
        <v>52</v>
      </c>
      <c r="C503" t="s">
        <v>4</v>
      </c>
      <c r="D503" t="str">
        <f>VLOOKUP(A503,[1]Sheet1!$A:$D,2,FALSE)</f>
        <v>SIEMENS</v>
      </c>
      <c r="E503" t="str">
        <f>VLOOKUP(A503,[1]Sheet1!$A:$D,3,FALSE)</f>
        <v>Aera</v>
      </c>
      <c r="F503">
        <f>VLOOKUP(A503,[1]Sheet1!$A:$D,4,FALSE)</f>
        <v>1.5</v>
      </c>
      <c r="G503">
        <f>VLOOKUP(A503,[2]Sheet1!$A:$D,2,FALSE)</f>
        <v>0</v>
      </c>
      <c r="H503">
        <f>VLOOKUP(A503,[2]Sheet1!$A:$D,3,FALSE)</f>
        <v>0</v>
      </c>
      <c r="I503">
        <f>VLOOKUP(A503,[2]Sheet1!$A:$D,4,FALSE)</f>
        <v>4</v>
      </c>
      <c r="J503" t="str">
        <f>VLOOKUP(A503,[3]Sheet1!$A:$C,2,FALSE)</f>
        <v>OBS1</v>
      </c>
      <c r="K503" t="str">
        <f>VLOOKUP(A503,[3]Sheet1!$A:$C,3,FALSE)</f>
        <v>FLAIR</v>
      </c>
    </row>
    <row r="504" spans="1:11" x14ac:dyDescent="0.25">
      <c r="A504" s="2" t="s">
        <v>507</v>
      </c>
      <c r="B504">
        <v>42</v>
      </c>
      <c r="C504" t="s">
        <v>7</v>
      </c>
      <c r="D504" t="str">
        <f>VLOOKUP(A504,[1]Sheet1!$A:$D,2,FALSE)</f>
        <v>SIEMENS</v>
      </c>
      <c r="E504" t="str">
        <f>VLOOKUP(A504,[1]Sheet1!$A:$D,3,FALSE)</f>
        <v>Symphony</v>
      </c>
      <c r="F504">
        <f>VLOOKUP(A504,[1]Sheet1!$A:$D,4,FALSE)</f>
        <v>1.5</v>
      </c>
      <c r="G504">
        <f>VLOOKUP(A504,[2]Sheet1!$A:$D,2,FALSE)</f>
        <v>0</v>
      </c>
      <c r="H504">
        <f>VLOOKUP(A504,[2]Sheet1!$A:$D,3,FALSE)</f>
        <v>-1</v>
      </c>
      <c r="I504">
        <f>VLOOKUP(A504,[2]Sheet1!$A:$D,4,FALSE)</f>
        <v>4</v>
      </c>
      <c r="J504" t="str">
        <f>VLOOKUP(A504,[3]Sheet1!$A:$C,2,FALSE)</f>
        <v>AUTO</v>
      </c>
      <c r="K504" t="str">
        <f>VLOOKUP(A504,[3]Sheet1!$A:$C,3,FALSE)</f>
        <v>ALL</v>
      </c>
    </row>
    <row r="505" spans="1:11" x14ac:dyDescent="0.25">
      <c r="A505" s="2" t="s">
        <v>508</v>
      </c>
      <c r="B505">
        <v>58</v>
      </c>
      <c r="C505" t="s">
        <v>7</v>
      </c>
      <c r="D505" t="str">
        <f>VLOOKUP(A505,[1]Sheet1!$A:$D,2,FALSE)</f>
        <v>Philips Medical Systems</v>
      </c>
      <c r="E505" t="str">
        <f>VLOOKUP(A505,[1]Sheet1!$A:$D,3,FALSE)</f>
        <v>Intera</v>
      </c>
      <c r="F505">
        <f>VLOOKUP(A505,[1]Sheet1!$A:$D,4,FALSE)</f>
        <v>1.5</v>
      </c>
      <c r="G505">
        <f>VLOOKUP(A505,[2]Sheet1!$A:$D,2,FALSE)</f>
        <v>-1</v>
      </c>
      <c r="H505">
        <f>VLOOKUP(A505,[2]Sheet1!$A:$D,3,FALSE)</f>
        <v>-1</v>
      </c>
      <c r="I505">
        <f>VLOOKUP(A505,[2]Sheet1!$A:$D,4,FALSE)</f>
        <v>4</v>
      </c>
      <c r="J505" t="str">
        <f>VLOOKUP(A505,[3]Sheet1!$A:$C,2,FALSE)</f>
        <v>AUTO</v>
      </c>
      <c r="K505" t="str">
        <f>VLOOKUP(A505,[3]Sheet1!$A:$C,3,FALSE)</f>
        <v>ALL</v>
      </c>
    </row>
    <row r="506" spans="1:11" x14ac:dyDescent="0.25">
      <c r="A506" s="2" t="s">
        <v>509</v>
      </c>
      <c r="B506">
        <v>53</v>
      </c>
      <c r="C506" t="s">
        <v>7</v>
      </c>
      <c r="D506" t="str">
        <f>VLOOKUP(A506,[1]Sheet1!$A:$D,2,FALSE)</f>
        <v>GE MEDICAL SYSTEMS</v>
      </c>
      <c r="E506" t="str">
        <f>VLOOKUP(A506,[1]Sheet1!$A:$D,3,FALSE)</f>
        <v>DISCOVERY MR450</v>
      </c>
      <c r="F506">
        <f>VLOOKUP(A506,[1]Sheet1!$A:$D,4,FALSE)</f>
        <v>1.5</v>
      </c>
      <c r="G506">
        <f>VLOOKUP(A506,[2]Sheet1!$A:$D,2,FALSE)</f>
        <v>0</v>
      </c>
      <c r="H506">
        <f>VLOOKUP(A506,[2]Sheet1!$A:$D,3,FALSE)</f>
        <v>0</v>
      </c>
      <c r="I506">
        <f>VLOOKUP(A506,[2]Sheet1!$A:$D,4,FALSE)</f>
        <v>4</v>
      </c>
      <c r="J506" t="str">
        <f>VLOOKUP(A506,[3]Sheet1!$A:$C,2,FALSE)</f>
        <v>OBS1</v>
      </c>
      <c r="K506" t="str">
        <f>VLOOKUP(A506,[3]Sheet1!$A:$C,3,FALSE)</f>
        <v>T2</v>
      </c>
    </row>
    <row r="507" spans="1:11" x14ac:dyDescent="0.25">
      <c r="A507" s="2" t="s">
        <v>510</v>
      </c>
      <c r="B507">
        <v>80</v>
      </c>
      <c r="C507" t="s">
        <v>4</v>
      </c>
      <c r="D507" t="str">
        <f>VLOOKUP(A507,[1]Sheet1!$A:$D,2,FALSE)</f>
        <v>SIEMENS</v>
      </c>
      <c r="E507" t="str">
        <f>VLOOKUP(A507,[1]Sheet1!$A:$D,3,FALSE)</f>
        <v>Skyra</v>
      </c>
      <c r="F507">
        <f>VLOOKUP(A507,[1]Sheet1!$A:$D,4,FALSE)</f>
        <v>3</v>
      </c>
      <c r="G507">
        <f>VLOOKUP(A507,[2]Sheet1!$A:$D,2,FALSE)</f>
        <v>0</v>
      </c>
      <c r="H507">
        <f>VLOOKUP(A507,[2]Sheet1!$A:$D,3,FALSE)</f>
        <v>-1</v>
      </c>
      <c r="I507">
        <f>VLOOKUP(A507,[2]Sheet1!$A:$D,4,FALSE)</f>
        <v>4</v>
      </c>
      <c r="J507" t="str">
        <f>VLOOKUP(A507,[3]Sheet1!$A:$C,2,FALSE)</f>
        <v>AUTO</v>
      </c>
      <c r="K507" t="str">
        <f>VLOOKUP(A507,[3]Sheet1!$A:$C,3,FALSE)</f>
        <v>ALL</v>
      </c>
    </row>
    <row r="508" spans="1:11" x14ac:dyDescent="0.25">
      <c r="A508" s="2" t="s">
        <v>511</v>
      </c>
      <c r="B508">
        <v>72</v>
      </c>
      <c r="C508" t="s">
        <v>4</v>
      </c>
      <c r="D508" t="str">
        <f>VLOOKUP(A508,[1]Sheet1!$A:$D,2,FALSE)</f>
        <v>Philips Medical Systems</v>
      </c>
      <c r="E508" t="str">
        <f>VLOOKUP(A508,[1]Sheet1!$A:$D,3,FALSE)</f>
        <v>Intera</v>
      </c>
      <c r="F508">
        <f>VLOOKUP(A508,[1]Sheet1!$A:$D,4,FALSE)</f>
        <v>1.5</v>
      </c>
      <c r="G508">
        <f>VLOOKUP(A508,[2]Sheet1!$A:$D,2,FALSE)</f>
        <v>0</v>
      </c>
      <c r="H508">
        <f>VLOOKUP(A508,[2]Sheet1!$A:$D,3,FALSE)</f>
        <v>-1</v>
      </c>
      <c r="I508">
        <f>VLOOKUP(A508,[2]Sheet1!$A:$D,4,FALSE)</f>
        <v>4</v>
      </c>
      <c r="J508" t="str">
        <f>VLOOKUP(A508,[3]Sheet1!$A:$C,2,FALSE)</f>
        <v>OBS1</v>
      </c>
      <c r="K508" t="str">
        <f>VLOOKUP(A508,[3]Sheet1!$A:$C,3,FALSE)</f>
        <v>T2</v>
      </c>
    </row>
    <row r="509" spans="1:11" x14ac:dyDescent="0.25">
      <c r="A509" s="2" t="s">
        <v>512</v>
      </c>
      <c r="B509">
        <v>52</v>
      </c>
      <c r="C509" t="s">
        <v>7</v>
      </c>
      <c r="D509" t="str">
        <f>VLOOKUP(A509,[1]Sheet1!$A:$D,2,FALSE)</f>
        <v>SIEMENS</v>
      </c>
      <c r="E509" t="str">
        <f>VLOOKUP(A509,[1]Sheet1!$A:$D,3,FALSE)</f>
        <v>Aera</v>
      </c>
      <c r="F509">
        <f>VLOOKUP(A509,[1]Sheet1!$A:$D,4,FALSE)</f>
        <v>1.5</v>
      </c>
      <c r="G509">
        <f>VLOOKUP(A509,[2]Sheet1!$A:$D,2,FALSE)</f>
        <v>0</v>
      </c>
      <c r="H509">
        <f>VLOOKUP(A509,[2]Sheet1!$A:$D,3,FALSE)</f>
        <v>0</v>
      </c>
      <c r="I509">
        <f>VLOOKUP(A509,[2]Sheet1!$A:$D,4,FALSE)</f>
        <v>4</v>
      </c>
      <c r="J509" t="str">
        <f>VLOOKUP(A509,[3]Sheet1!$A:$C,2,FALSE)</f>
        <v>AUTO</v>
      </c>
      <c r="K509" t="str">
        <f>VLOOKUP(A509,[3]Sheet1!$A:$C,3,FALSE)</f>
        <v>ALL</v>
      </c>
    </row>
    <row r="510" spans="1:11" x14ac:dyDescent="0.25">
      <c r="A510" s="2" t="s">
        <v>513</v>
      </c>
      <c r="B510">
        <v>50</v>
      </c>
      <c r="C510" t="s">
        <v>7</v>
      </c>
      <c r="D510" t="str">
        <f>VLOOKUP(A510,[1]Sheet1!$A:$D,2,FALSE)</f>
        <v>SIEMENS</v>
      </c>
      <c r="E510" t="str">
        <f>VLOOKUP(A510,[1]Sheet1!$A:$D,3,FALSE)</f>
        <v>Sonata</v>
      </c>
      <c r="F510">
        <f>VLOOKUP(A510,[1]Sheet1!$A:$D,4,FALSE)</f>
        <v>1.5</v>
      </c>
      <c r="G510">
        <f>VLOOKUP(A510,[2]Sheet1!$A:$D,2,FALSE)</f>
        <v>1</v>
      </c>
      <c r="H510">
        <f>VLOOKUP(A510,[2]Sheet1!$A:$D,3,FALSE)</f>
        <v>1</v>
      </c>
      <c r="I510">
        <f>VLOOKUP(A510,[2]Sheet1!$A:$D,4,FALSE)</f>
        <v>2</v>
      </c>
      <c r="J510" t="str">
        <f>VLOOKUP(A510,[3]Sheet1!$A:$C,2,FALSE)</f>
        <v>AUTO</v>
      </c>
      <c r="K510" t="str">
        <f>VLOOKUP(A510,[3]Sheet1!$A:$C,3,FALSE)</f>
        <v>ALL</v>
      </c>
    </row>
    <row r="511" spans="1:11" x14ac:dyDescent="0.25">
      <c r="A511" s="2" t="s">
        <v>514</v>
      </c>
      <c r="B511">
        <v>54</v>
      </c>
      <c r="C511" t="s">
        <v>7</v>
      </c>
      <c r="D511" t="str">
        <f>VLOOKUP(A511,[1]Sheet1!$A:$D,2,FALSE)</f>
        <v>SIEMENS</v>
      </c>
      <c r="E511" t="str">
        <f>VLOOKUP(A511,[1]Sheet1!$A:$D,3,FALSE)</f>
        <v>Avanto</v>
      </c>
      <c r="F511">
        <f>VLOOKUP(A511,[1]Sheet1!$A:$D,4,FALSE)</f>
        <v>1.5</v>
      </c>
      <c r="G511">
        <f>VLOOKUP(A511,[2]Sheet1!$A:$D,2,FALSE)</f>
        <v>-1</v>
      </c>
      <c r="H511">
        <f>VLOOKUP(A511,[2]Sheet1!$A:$D,3,FALSE)</f>
        <v>-1</v>
      </c>
      <c r="I511">
        <f>VLOOKUP(A511,[2]Sheet1!$A:$D,4,FALSE)</f>
        <v>4</v>
      </c>
      <c r="J511" t="str">
        <f>VLOOKUP(A511,[3]Sheet1!$A:$C,2,FALSE)</f>
        <v>AUTO</v>
      </c>
      <c r="K511" t="str">
        <f>VLOOKUP(A511,[3]Sheet1!$A:$C,3,FALSE)</f>
        <v>ALL</v>
      </c>
    </row>
    <row r="512" spans="1:11" x14ac:dyDescent="0.25">
      <c r="A512" s="2" t="s">
        <v>515</v>
      </c>
      <c r="B512">
        <v>32</v>
      </c>
      <c r="C512" t="s">
        <v>7</v>
      </c>
      <c r="D512" t="str">
        <f>VLOOKUP(A512,[1]Sheet1!$A:$D,2,FALSE)</f>
        <v>Philips Medical Systems</v>
      </c>
      <c r="E512" t="str">
        <f>VLOOKUP(A512,[1]Sheet1!$A:$D,3,FALSE)</f>
        <v>Achieva</v>
      </c>
      <c r="F512">
        <f>VLOOKUP(A512,[1]Sheet1!$A:$D,4,FALSE)</f>
        <v>1.5</v>
      </c>
      <c r="G512">
        <f>VLOOKUP(A512,[2]Sheet1!$A:$D,2,FALSE)</f>
        <v>1</v>
      </c>
      <c r="H512">
        <f>VLOOKUP(A512,[2]Sheet1!$A:$D,3,FALSE)</f>
        <v>0</v>
      </c>
      <c r="I512">
        <f>VLOOKUP(A512,[2]Sheet1!$A:$D,4,FALSE)</f>
        <v>2</v>
      </c>
      <c r="J512" t="str">
        <f>VLOOKUP(A512,[3]Sheet1!$A:$C,2,FALSE)</f>
        <v>OBS2</v>
      </c>
      <c r="K512" t="str">
        <f>VLOOKUP(A512,[3]Sheet1!$A:$C,3,FALSE)</f>
        <v>FLAIR</v>
      </c>
    </row>
    <row r="513" spans="1:11" x14ac:dyDescent="0.25">
      <c r="A513" s="2" t="s">
        <v>516</v>
      </c>
      <c r="B513">
        <v>53</v>
      </c>
      <c r="C513" t="s">
        <v>4</v>
      </c>
      <c r="D513" t="str">
        <f>VLOOKUP(A513,[1]Sheet1!$A:$D,2,FALSE)</f>
        <v>GE MEDICAL SYSTEMS</v>
      </c>
      <c r="E513" t="str">
        <f>VLOOKUP(A513,[1]Sheet1!$A:$D,3,FALSE)</f>
        <v>DISCOVERY MR450</v>
      </c>
      <c r="F513">
        <f>VLOOKUP(A513,[1]Sheet1!$A:$D,4,FALSE)</f>
        <v>1.5</v>
      </c>
      <c r="G513">
        <f>VLOOKUP(A513,[2]Sheet1!$A:$D,2,FALSE)</f>
        <v>0</v>
      </c>
      <c r="H513">
        <f>VLOOKUP(A513,[2]Sheet1!$A:$D,3,FALSE)</f>
        <v>0</v>
      </c>
      <c r="I513">
        <f>VLOOKUP(A513,[2]Sheet1!$A:$D,4,FALSE)</f>
        <v>4</v>
      </c>
      <c r="J513" t="str">
        <f>VLOOKUP(A513,[3]Sheet1!$A:$C,2,FALSE)</f>
        <v>OBS1</v>
      </c>
      <c r="K513" t="str">
        <f>VLOOKUP(A513,[3]Sheet1!$A:$C,3,FALSE)</f>
        <v>T2</v>
      </c>
    </row>
    <row r="514" spans="1:11" x14ac:dyDescent="0.25">
      <c r="A514" s="2" t="s">
        <v>517</v>
      </c>
      <c r="B514">
        <v>55</v>
      </c>
      <c r="C514" t="s">
        <v>4</v>
      </c>
      <c r="D514" t="str">
        <f>VLOOKUP(A514,[1]Sheet1!$A:$D,2,FALSE)</f>
        <v>SIEMENS</v>
      </c>
      <c r="E514" t="str">
        <f>VLOOKUP(A514,[1]Sheet1!$A:$D,3,FALSE)</f>
        <v>Skyra</v>
      </c>
      <c r="F514">
        <f>VLOOKUP(A514,[1]Sheet1!$A:$D,4,FALSE)</f>
        <v>3</v>
      </c>
      <c r="G514">
        <f>VLOOKUP(A514,[2]Sheet1!$A:$D,2,FALSE)</f>
        <v>-1</v>
      </c>
      <c r="H514">
        <f>VLOOKUP(A514,[2]Sheet1!$A:$D,3,FALSE)</f>
        <v>-1</v>
      </c>
      <c r="I514">
        <f>VLOOKUP(A514,[2]Sheet1!$A:$D,4,FALSE)</f>
        <v>4</v>
      </c>
      <c r="J514" t="str">
        <f>VLOOKUP(A514,[3]Sheet1!$A:$C,2,FALSE)</f>
        <v>OBS1</v>
      </c>
      <c r="K514" t="str">
        <f>VLOOKUP(A514,[3]Sheet1!$A:$C,3,FALSE)</f>
        <v>T2</v>
      </c>
    </row>
    <row r="515" spans="1:11" x14ac:dyDescent="0.25">
      <c r="A515" s="2" t="s">
        <v>518</v>
      </c>
      <c r="B515">
        <v>72</v>
      </c>
      <c r="C515" t="s">
        <v>4</v>
      </c>
      <c r="D515" t="str">
        <f>VLOOKUP(A515,[1]Sheet1!$A:$D,2,FALSE)</f>
        <v>Philips Medical Systems</v>
      </c>
      <c r="E515" t="str">
        <f>VLOOKUP(A515,[1]Sheet1!$A:$D,3,FALSE)</f>
        <v>Achieva</v>
      </c>
      <c r="F515">
        <f>VLOOKUP(A515,[1]Sheet1!$A:$D,4,FALSE)</f>
        <v>1.5</v>
      </c>
      <c r="G515">
        <f>VLOOKUP(A515,[2]Sheet1!$A:$D,2,FALSE)</f>
        <v>1</v>
      </c>
      <c r="H515">
        <f>VLOOKUP(A515,[2]Sheet1!$A:$D,3,FALSE)</f>
        <v>1</v>
      </c>
      <c r="I515">
        <f>VLOOKUP(A515,[2]Sheet1!$A:$D,4,FALSE)</f>
        <v>2</v>
      </c>
      <c r="J515" t="str">
        <f>VLOOKUP(A515,[3]Sheet1!$A:$C,2,FALSE)</f>
        <v>OBS2</v>
      </c>
      <c r="K515" t="str">
        <f>VLOOKUP(A515,[3]Sheet1!$A:$C,3,FALSE)</f>
        <v>FLAIR</v>
      </c>
    </row>
    <row r="516" spans="1:11" x14ac:dyDescent="0.25">
      <c r="A516" s="2" t="s">
        <v>519</v>
      </c>
      <c r="B516">
        <v>54</v>
      </c>
      <c r="C516" t="s">
        <v>7</v>
      </c>
      <c r="D516" t="str">
        <f>VLOOKUP(A516,[1]Sheet1!$A:$D,2,FALSE)</f>
        <v>Philips Medical Systems</v>
      </c>
      <c r="E516" t="str">
        <f>VLOOKUP(A516,[1]Sheet1!$A:$D,3,FALSE)</f>
        <v>Achieva</v>
      </c>
      <c r="F516">
        <f>VLOOKUP(A516,[1]Sheet1!$A:$D,4,FALSE)</f>
        <v>1.5</v>
      </c>
      <c r="G516">
        <f>VLOOKUP(A516,[2]Sheet1!$A:$D,2,FALSE)</f>
        <v>0</v>
      </c>
      <c r="H516">
        <f>VLOOKUP(A516,[2]Sheet1!$A:$D,3,FALSE)</f>
        <v>0</v>
      </c>
      <c r="I516">
        <f>VLOOKUP(A516,[2]Sheet1!$A:$D,4,FALSE)</f>
        <v>4</v>
      </c>
      <c r="J516" t="str">
        <f>VLOOKUP(A516,[3]Sheet1!$A:$C,2,FALSE)</f>
        <v>AUTO</v>
      </c>
      <c r="K516" t="str">
        <f>VLOOKUP(A516,[3]Sheet1!$A:$C,3,FALSE)</f>
        <v>ALL</v>
      </c>
    </row>
    <row r="517" spans="1:11" x14ac:dyDescent="0.25">
      <c r="A517" s="2" t="s">
        <v>520</v>
      </c>
      <c r="B517">
        <v>58</v>
      </c>
      <c r="C517" t="s">
        <v>4</v>
      </c>
      <c r="D517" t="str">
        <f>VLOOKUP(A517,[1]Sheet1!$A:$D,2,FALSE)</f>
        <v>Philips Medical Systems</v>
      </c>
      <c r="E517" t="str">
        <f>VLOOKUP(A517,[1]Sheet1!$A:$D,3,FALSE)</f>
        <v>Achieva</v>
      </c>
      <c r="F517">
        <f>VLOOKUP(A517,[1]Sheet1!$A:$D,4,FALSE)</f>
        <v>1.5</v>
      </c>
      <c r="G517">
        <f>VLOOKUP(A517,[2]Sheet1!$A:$D,2,FALSE)</f>
        <v>0</v>
      </c>
      <c r="H517">
        <f>VLOOKUP(A517,[2]Sheet1!$A:$D,3,FALSE)</f>
        <v>0</v>
      </c>
      <c r="I517">
        <f>VLOOKUP(A517,[2]Sheet1!$A:$D,4,FALSE)</f>
        <v>4</v>
      </c>
      <c r="J517" t="str">
        <f>VLOOKUP(A517,[3]Sheet1!$A:$C,2,FALSE)</f>
        <v>AUTO</v>
      </c>
      <c r="K517" t="str">
        <f>VLOOKUP(A517,[3]Sheet1!$A:$C,3,FALSE)</f>
        <v>ALL</v>
      </c>
    </row>
    <row r="518" spans="1:11" x14ac:dyDescent="0.25">
      <c r="A518" s="2" t="s">
        <v>521</v>
      </c>
      <c r="B518">
        <v>57</v>
      </c>
      <c r="C518" t="s">
        <v>4</v>
      </c>
      <c r="D518" t="str">
        <f>VLOOKUP(A518,[1]Sheet1!$A:$D,2,FALSE)</f>
        <v>Philips Medical Systems</v>
      </c>
      <c r="E518" t="str">
        <f>VLOOKUP(A518,[1]Sheet1!$A:$D,3,FALSE)</f>
        <v>Achieva</v>
      </c>
      <c r="F518">
        <f>VLOOKUP(A518,[1]Sheet1!$A:$D,4,FALSE)</f>
        <v>1.5</v>
      </c>
      <c r="G518">
        <f>VLOOKUP(A518,[2]Sheet1!$A:$D,2,FALSE)</f>
        <v>-1</v>
      </c>
      <c r="H518">
        <f>VLOOKUP(A518,[2]Sheet1!$A:$D,3,FALSE)</f>
        <v>-1</v>
      </c>
      <c r="I518">
        <f>VLOOKUP(A518,[2]Sheet1!$A:$D,4,FALSE)</f>
        <v>4</v>
      </c>
      <c r="J518" t="str">
        <f>VLOOKUP(A518,[3]Sheet1!$A:$C,2,FALSE)</f>
        <v>OBS1</v>
      </c>
      <c r="K518" t="str">
        <f>VLOOKUP(A518,[3]Sheet1!$A:$C,3,FALSE)</f>
        <v>FLAIR</v>
      </c>
    </row>
    <row r="519" spans="1:11" x14ac:dyDescent="0.25">
      <c r="A519" s="2" t="s">
        <v>522</v>
      </c>
      <c r="B519">
        <v>58</v>
      </c>
      <c r="C519" t="s">
        <v>4</v>
      </c>
      <c r="D519" t="str">
        <f>VLOOKUP(A519,[1]Sheet1!$A:$D,2,FALSE)</f>
        <v>GE MEDICAL SYSTEMS</v>
      </c>
      <c r="E519" t="str">
        <f>VLOOKUP(A519,[1]Sheet1!$A:$D,3,FALSE)</f>
        <v>DISCOVERY MR750</v>
      </c>
      <c r="F519">
        <f>VLOOKUP(A519,[1]Sheet1!$A:$D,4,FALSE)</f>
        <v>3</v>
      </c>
      <c r="G519">
        <f>VLOOKUP(A519,[2]Sheet1!$A:$D,2,FALSE)</f>
        <v>1</v>
      </c>
      <c r="H519">
        <f>VLOOKUP(A519,[2]Sheet1!$A:$D,3,FALSE)</f>
        <v>1</v>
      </c>
      <c r="I519">
        <f>VLOOKUP(A519,[2]Sheet1!$A:$D,4,FALSE)</f>
        <v>2</v>
      </c>
      <c r="J519" t="str">
        <f>VLOOKUP(A519,[3]Sheet1!$A:$C,2,FALSE)</f>
        <v>OBS2</v>
      </c>
      <c r="K519" t="str">
        <f>VLOOKUP(A519,[3]Sheet1!$A:$C,3,FALSE)</f>
        <v>FLAIR</v>
      </c>
    </row>
    <row r="520" spans="1:11" x14ac:dyDescent="0.25">
      <c r="A520" s="2" t="s">
        <v>523</v>
      </c>
      <c r="B520">
        <v>70</v>
      </c>
      <c r="C520" t="s">
        <v>4</v>
      </c>
      <c r="D520" t="str">
        <f>VLOOKUP(A520,[1]Sheet1!$A:$D,2,FALSE)</f>
        <v>SIEMENS</v>
      </c>
      <c r="E520" t="str">
        <f>VLOOKUP(A520,[1]Sheet1!$A:$D,3,FALSE)</f>
        <v>Harmony</v>
      </c>
      <c r="F520">
        <f>VLOOKUP(A520,[1]Sheet1!$A:$D,4,FALSE)</f>
        <v>1</v>
      </c>
      <c r="G520">
        <f>VLOOKUP(A520,[2]Sheet1!$A:$D,2,FALSE)</f>
        <v>-1</v>
      </c>
      <c r="H520">
        <f>VLOOKUP(A520,[2]Sheet1!$A:$D,3,FALSE)</f>
        <v>-1</v>
      </c>
      <c r="I520">
        <f>VLOOKUP(A520,[2]Sheet1!$A:$D,4,FALSE)</f>
        <v>4</v>
      </c>
      <c r="J520" t="str">
        <f>VLOOKUP(A520,[3]Sheet1!$A:$C,2,FALSE)</f>
        <v>AUTO</v>
      </c>
      <c r="K520" t="str">
        <f>VLOOKUP(A520,[3]Sheet1!$A:$C,3,FALSE)</f>
        <v>ALL</v>
      </c>
    </row>
    <row r="521" spans="1:11" x14ac:dyDescent="0.25">
      <c r="A521" s="2" t="s">
        <v>524</v>
      </c>
      <c r="B521">
        <v>37</v>
      </c>
      <c r="C521" t="s">
        <v>7</v>
      </c>
      <c r="D521" t="str">
        <f>VLOOKUP(A521,[1]Sheet1!$A:$D,2,FALSE)</f>
        <v>SIEMENS</v>
      </c>
      <c r="E521" t="str">
        <f>VLOOKUP(A521,[1]Sheet1!$A:$D,3,FALSE)</f>
        <v>Symphony</v>
      </c>
      <c r="F521">
        <f>VLOOKUP(A521,[1]Sheet1!$A:$D,4,FALSE)</f>
        <v>1.5</v>
      </c>
      <c r="G521">
        <f>VLOOKUP(A521,[2]Sheet1!$A:$D,2,FALSE)</f>
        <v>-1</v>
      </c>
      <c r="H521">
        <f>VLOOKUP(A521,[2]Sheet1!$A:$D,3,FALSE)</f>
        <v>0</v>
      </c>
      <c r="I521">
        <f>VLOOKUP(A521,[2]Sheet1!$A:$D,4,FALSE)</f>
        <v>3</v>
      </c>
      <c r="J521" t="str">
        <f>VLOOKUP(A521,[3]Sheet1!$A:$C,2,FALSE)</f>
        <v>AUTO</v>
      </c>
      <c r="K521" t="str">
        <f>VLOOKUP(A521,[3]Sheet1!$A:$C,3,FALSE)</f>
        <v>ALL</v>
      </c>
    </row>
    <row r="522" spans="1:11" x14ac:dyDescent="0.25">
      <c r="A522" s="2" t="s">
        <v>525</v>
      </c>
      <c r="B522">
        <v>39</v>
      </c>
      <c r="C522" t="s">
        <v>7</v>
      </c>
      <c r="D522" t="str">
        <f>VLOOKUP(A522,[1]Sheet1!$A:$D,2,FALSE)</f>
        <v>Philips Medical Systems</v>
      </c>
      <c r="E522" t="str">
        <f>VLOOKUP(A522,[1]Sheet1!$A:$D,3,FALSE)</f>
        <v>Achieva</v>
      </c>
      <c r="F522">
        <f>VLOOKUP(A522,[1]Sheet1!$A:$D,4,FALSE)</f>
        <v>1.5</v>
      </c>
      <c r="G522">
        <f>VLOOKUP(A522,[2]Sheet1!$A:$D,2,FALSE)</f>
        <v>1</v>
      </c>
      <c r="H522">
        <f>VLOOKUP(A522,[2]Sheet1!$A:$D,3,FALSE)</f>
        <v>0</v>
      </c>
      <c r="I522">
        <f>VLOOKUP(A522,[2]Sheet1!$A:$D,4,FALSE)</f>
        <v>2</v>
      </c>
      <c r="J522" t="str">
        <f>VLOOKUP(A522,[3]Sheet1!$A:$C,2,FALSE)</f>
        <v>OBS2</v>
      </c>
      <c r="K522" t="str">
        <f>VLOOKUP(A522,[3]Sheet1!$A:$C,3,FALSE)</f>
        <v>FLAIR</v>
      </c>
    </row>
    <row r="523" spans="1:11" x14ac:dyDescent="0.25">
      <c r="A523" s="2" t="s">
        <v>526</v>
      </c>
      <c r="B523">
        <v>-1</v>
      </c>
      <c r="C523" t="s">
        <v>4</v>
      </c>
      <c r="D523" t="str">
        <f>VLOOKUP(A523,[1]Sheet1!$A:$D,2,FALSE)</f>
        <v>SIEMENS</v>
      </c>
      <c r="E523" t="str">
        <f>VLOOKUP(A523,[1]Sheet1!$A:$D,3,FALSE)</f>
        <v>Aera</v>
      </c>
      <c r="F523">
        <f>VLOOKUP(A523,[1]Sheet1!$A:$D,4,FALSE)</f>
        <v>1.5</v>
      </c>
      <c r="G523">
        <f>VLOOKUP(A523,[2]Sheet1!$A:$D,2,FALSE)</f>
        <v>0</v>
      </c>
      <c r="H523">
        <f>VLOOKUP(A523,[2]Sheet1!$A:$D,3,FALSE)</f>
        <v>-1</v>
      </c>
      <c r="I523">
        <f>VLOOKUP(A523,[2]Sheet1!$A:$D,4,FALSE)</f>
        <v>-1</v>
      </c>
      <c r="J523" t="str">
        <f>VLOOKUP(A523,[3]Sheet1!$A:$C,2,FALSE)</f>
        <v>AUTO</v>
      </c>
      <c r="K523" t="str">
        <f>VLOOKUP(A523,[3]Sheet1!$A:$C,3,FALSE)</f>
        <v>ALL</v>
      </c>
    </row>
    <row r="524" spans="1:11" x14ac:dyDescent="0.25">
      <c r="A524" s="2" t="s">
        <v>527</v>
      </c>
      <c r="B524">
        <v>58</v>
      </c>
      <c r="C524" t="s">
        <v>4</v>
      </c>
      <c r="D524" t="str">
        <f>VLOOKUP(A524,[1]Sheet1!$A:$D,2,FALSE)</f>
        <v>Philips Medical Systems</v>
      </c>
      <c r="E524" t="str">
        <f>VLOOKUP(A524,[1]Sheet1!$A:$D,3,FALSE)</f>
        <v>Ingenia</v>
      </c>
      <c r="F524">
        <f>VLOOKUP(A524,[1]Sheet1!$A:$D,4,FALSE)</f>
        <v>3</v>
      </c>
      <c r="G524">
        <f>VLOOKUP(A524,[2]Sheet1!$A:$D,2,FALSE)</f>
        <v>1</v>
      </c>
      <c r="H524">
        <f>VLOOKUP(A524,[2]Sheet1!$A:$D,3,FALSE)</f>
        <v>0</v>
      </c>
      <c r="I524">
        <f>VLOOKUP(A524,[2]Sheet1!$A:$D,4,FALSE)</f>
        <v>2</v>
      </c>
      <c r="J524" t="str">
        <f>VLOOKUP(A524,[3]Sheet1!$A:$C,2,FALSE)</f>
        <v>OBS2</v>
      </c>
      <c r="K524" t="str">
        <f>VLOOKUP(A524,[3]Sheet1!$A:$C,3,FALSE)</f>
        <v>FLAIR</v>
      </c>
    </row>
    <row r="525" spans="1:11" x14ac:dyDescent="0.25">
      <c r="A525" s="2" t="s">
        <v>528</v>
      </c>
      <c r="B525">
        <v>-1</v>
      </c>
      <c r="C525" t="s">
        <v>4</v>
      </c>
      <c r="D525" t="str">
        <f>VLOOKUP(A525,[1]Sheet1!$A:$D,2,FALSE)</f>
        <v>Philips Medical Systems</v>
      </c>
      <c r="E525" t="str">
        <f>VLOOKUP(A525,[1]Sheet1!$A:$D,3,FALSE)</f>
        <v>Achieva</v>
      </c>
      <c r="F525">
        <f>VLOOKUP(A525,[1]Sheet1!$A:$D,4,FALSE)</f>
        <v>1.5</v>
      </c>
      <c r="G525">
        <f>VLOOKUP(A525,[2]Sheet1!$A:$D,2,FALSE)</f>
        <v>0</v>
      </c>
      <c r="H525">
        <f>VLOOKUP(A525,[2]Sheet1!$A:$D,3,FALSE)</f>
        <v>0</v>
      </c>
      <c r="I525">
        <f>VLOOKUP(A525,[2]Sheet1!$A:$D,4,FALSE)</f>
        <v>-1</v>
      </c>
      <c r="J525" t="str">
        <f>VLOOKUP(A525,[3]Sheet1!$A:$C,2,FALSE)</f>
        <v>OBS1</v>
      </c>
      <c r="K525" t="str">
        <f>VLOOKUP(A525,[3]Sheet1!$A:$C,3,FALSE)</f>
        <v>T2</v>
      </c>
    </row>
    <row r="526" spans="1:11" x14ac:dyDescent="0.25">
      <c r="A526" s="2" t="s">
        <v>529</v>
      </c>
      <c r="B526">
        <v>24</v>
      </c>
      <c r="C526" t="s">
        <v>4</v>
      </c>
      <c r="D526" t="str">
        <f>VLOOKUP(A526,[1]Sheet1!$A:$D,2,FALSE)</f>
        <v>SIEMENS</v>
      </c>
      <c r="E526" t="str">
        <f>VLOOKUP(A526,[1]Sheet1!$A:$D,3,FALSE)</f>
        <v>Symphony</v>
      </c>
      <c r="F526">
        <f>VLOOKUP(A526,[1]Sheet1!$A:$D,4,FALSE)</f>
        <v>1.5</v>
      </c>
      <c r="G526">
        <f>VLOOKUP(A526,[2]Sheet1!$A:$D,2,FALSE)</f>
        <v>-1</v>
      </c>
      <c r="H526">
        <f>VLOOKUP(A526,[2]Sheet1!$A:$D,3,FALSE)</f>
        <v>0</v>
      </c>
      <c r="I526">
        <f>VLOOKUP(A526,[2]Sheet1!$A:$D,4,FALSE)</f>
        <v>3</v>
      </c>
      <c r="J526" t="str">
        <f>VLOOKUP(A526,[3]Sheet1!$A:$C,2,FALSE)</f>
        <v>OBS1</v>
      </c>
      <c r="K526" t="str">
        <f>VLOOKUP(A526,[3]Sheet1!$A:$C,3,FALSE)</f>
        <v>FLAIR</v>
      </c>
    </row>
    <row r="527" spans="1:11" x14ac:dyDescent="0.25">
      <c r="A527" s="2" t="s">
        <v>530</v>
      </c>
      <c r="B527">
        <v>63</v>
      </c>
      <c r="C527" t="s">
        <v>4</v>
      </c>
      <c r="D527" t="str">
        <f>VLOOKUP(A527,[1]Sheet1!$A:$D,2,FALSE)</f>
        <v>SIEMENS</v>
      </c>
      <c r="E527" t="str">
        <f>VLOOKUP(A527,[1]Sheet1!$A:$D,3,FALSE)</f>
        <v>MAGNETOM_ESSENZA</v>
      </c>
      <c r="F527">
        <f>VLOOKUP(A527,[1]Sheet1!$A:$D,4,FALSE)</f>
        <v>1.5</v>
      </c>
      <c r="G527">
        <f>VLOOKUP(A527,[2]Sheet1!$A:$D,2,FALSE)</f>
        <v>0</v>
      </c>
      <c r="H527">
        <f>VLOOKUP(A527,[2]Sheet1!$A:$D,3,FALSE)</f>
        <v>0</v>
      </c>
      <c r="I527">
        <f>VLOOKUP(A527,[2]Sheet1!$A:$D,4,FALSE)</f>
        <v>2</v>
      </c>
      <c r="J527" t="str">
        <f>VLOOKUP(A527,[3]Sheet1!$A:$C,2,FALSE)</f>
        <v>AUTO</v>
      </c>
      <c r="K527" t="str">
        <f>VLOOKUP(A527,[3]Sheet1!$A:$C,3,FALSE)</f>
        <v>ALL</v>
      </c>
    </row>
    <row r="528" spans="1:11" x14ac:dyDescent="0.25">
      <c r="A528" s="2" t="s">
        <v>531</v>
      </c>
      <c r="B528">
        <v>72</v>
      </c>
      <c r="C528" t="s">
        <v>4</v>
      </c>
      <c r="D528" t="str">
        <f>VLOOKUP(A528,[1]Sheet1!$A:$D,2,FALSE)</f>
        <v>Philips Medical Systems</v>
      </c>
      <c r="E528" t="str">
        <f>VLOOKUP(A528,[1]Sheet1!$A:$D,3,FALSE)</f>
        <v>Achieva</v>
      </c>
      <c r="F528">
        <f>VLOOKUP(A528,[1]Sheet1!$A:$D,4,FALSE)</f>
        <v>1.5</v>
      </c>
      <c r="G528">
        <f>VLOOKUP(A528,[2]Sheet1!$A:$D,2,FALSE)</f>
        <v>-1</v>
      </c>
      <c r="H528">
        <f>VLOOKUP(A528,[2]Sheet1!$A:$D,3,FALSE)</f>
        <v>-1</v>
      </c>
      <c r="I528">
        <f>VLOOKUP(A528,[2]Sheet1!$A:$D,4,FALSE)</f>
        <v>3</v>
      </c>
      <c r="J528" t="str">
        <f>VLOOKUP(A528,[3]Sheet1!$A:$C,2,FALSE)</f>
        <v>AUTO</v>
      </c>
      <c r="K528" t="str">
        <f>VLOOKUP(A528,[3]Sheet1!$A:$C,3,FALSE)</f>
        <v>ALL</v>
      </c>
    </row>
    <row r="529" spans="1:11" x14ac:dyDescent="0.25">
      <c r="A529" s="2" t="s">
        <v>532</v>
      </c>
      <c r="B529">
        <v>64</v>
      </c>
      <c r="C529" t="s">
        <v>4</v>
      </c>
      <c r="D529" t="str">
        <f>VLOOKUP(A529,[1]Sheet1!$A:$D,2,FALSE)</f>
        <v>SIEMENS</v>
      </c>
      <c r="E529" t="str">
        <f>VLOOKUP(A529,[1]Sheet1!$A:$D,3,FALSE)</f>
        <v>Harmony</v>
      </c>
      <c r="F529">
        <f>VLOOKUP(A529,[1]Sheet1!$A:$D,4,FALSE)</f>
        <v>1</v>
      </c>
      <c r="G529">
        <f>VLOOKUP(A529,[2]Sheet1!$A:$D,2,FALSE)</f>
        <v>-1</v>
      </c>
      <c r="H529">
        <f>VLOOKUP(A529,[2]Sheet1!$A:$D,3,FALSE)</f>
        <v>-1</v>
      </c>
      <c r="I529">
        <f>VLOOKUP(A529,[2]Sheet1!$A:$D,4,FALSE)</f>
        <v>4</v>
      </c>
      <c r="J529" t="str">
        <f>VLOOKUP(A529,[3]Sheet1!$A:$C,2,FALSE)</f>
        <v>AUTO</v>
      </c>
      <c r="K529" t="str">
        <f>VLOOKUP(A529,[3]Sheet1!$A:$C,3,FALSE)</f>
        <v>ALL</v>
      </c>
    </row>
    <row r="530" spans="1:11" x14ac:dyDescent="0.25">
      <c r="A530" s="2" t="s">
        <v>533</v>
      </c>
      <c r="B530">
        <v>64</v>
      </c>
      <c r="C530" t="s">
        <v>7</v>
      </c>
      <c r="D530" t="str">
        <f>VLOOKUP(A530,[1]Sheet1!$A:$D,2,FALSE)</f>
        <v>Philips Medical Systems</v>
      </c>
      <c r="E530" t="str">
        <f>VLOOKUP(A530,[1]Sheet1!$A:$D,3,FALSE)</f>
        <v>Achieva dStream</v>
      </c>
      <c r="F530">
        <f>VLOOKUP(A530,[1]Sheet1!$A:$D,4,FALSE)</f>
        <v>1.5</v>
      </c>
      <c r="G530">
        <f>VLOOKUP(A530,[2]Sheet1!$A:$D,2,FALSE)</f>
        <v>0</v>
      </c>
      <c r="H530">
        <f>VLOOKUP(A530,[2]Sheet1!$A:$D,3,FALSE)</f>
        <v>-1</v>
      </c>
      <c r="I530">
        <f>VLOOKUP(A530,[2]Sheet1!$A:$D,4,FALSE)</f>
        <v>4</v>
      </c>
      <c r="J530" t="str">
        <f>VLOOKUP(A530,[3]Sheet1!$A:$C,2,FALSE)</f>
        <v>AUTO</v>
      </c>
      <c r="K530" t="str">
        <f>VLOOKUP(A530,[3]Sheet1!$A:$C,3,FALSE)</f>
        <v>ALL</v>
      </c>
    </row>
    <row r="531" spans="1:11" x14ac:dyDescent="0.25">
      <c r="A531" s="2" t="s">
        <v>534</v>
      </c>
      <c r="B531">
        <v>46</v>
      </c>
      <c r="C531" t="s">
        <v>4</v>
      </c>
      <c r="D531" t="str">
        <f>VLOOKUP(A531,[1]Sheet1!$A:$D,2,FALSE)</f>
        <v>SIEMENS</v>
      </c>
      <c r="E531" t="str">
        <f>VLOOKUP(A531,[1]Sheet1!$A:$D,3,FALSE)</f>
        <v>Avanto</v>
      </c>
      <c r="F531">
        <f>VLOOKUP(A531,[1]Sheet1!$A:$D,4,FALSE)</f>
        <v>1.5</v>
      </c>
      <c r="G531">
        <f>VLOOKUP(A531,[2]Sheet1!$A:$D,2,FALSE)</f>
        <v>1</v>
      </c>
      <c r="H531">
        <f>VLOOKUP(A531,[2]Sheet1!$A:$D,3,FALSE)</f>
        <v>0</v>
      </c>
      <c r="I531">
        <f>VLOOKUP(A531,[2]Sheet1!$A:$D,4,FALSE)</f>
        <v>-1</v>
      </c>
      <c r="J531" t="str">
        <f>VLOOKUP(A531,[3]Sheet1!$A:$C,2,FALSE)</f>
        <v>OBS2</v>
      </c>
      <c r="K531" t="str">
        <f>VLOOKUP(A531,[3]Sheet1!$A:$C,3,FALSE)</f>
        <v>FLAIR</v>
      </c>
    </row>
    <row r="532" spans="1:11" x14ac:dyDescent="0.25">
      <c r="A532" s="2" t="s">
        <v>535</v>
      </c>
      <c r="B532">
        <v>-1</v>
      </c>
      <c r="C532" t="s">
        <v>4</v>
      </c>
      <c r="D532" t="str">
        <f>VLOOKUP(A532,[1]Sheet1!$A:$D,2,FALSE)</f>
        <v>Philips Medical Systems</v>
      </c>
      <c r="E532" t="str">
        <f>VLOOKUP(A532,[1]Sheet1!$A:$D,3,FALSE)</f>
        <v>Achieva dStream</v>
      </c>
      <c r="F532">
        <f>VLOOKUP(A532,[1]Sheet1!$A:$D,4,FALSE)</f>
        <v>1.5</v>
      </c>
      <c r="G532">
        <f>VLOOKUP(A532,[2]Sheet1!$A:$D,2,FALSE)</f>
        <v>0</v>
      </c>
      <c r="H532">
        <f>VLOOKUP(A532,[2]Sheet1!$A:$D,3,FALSE)</f>
        <v>0</v>
      </c>
      <c r="I532">
        <f>VLOOKUP(A532,[2]Sheet1!$A:$D,4,FALSE)</f>
        <v>4</v>
      </c>
      <c r="J532" t="str">
        <f>VLOOKUP(A532,[3]Sheet1!$A:$C,2,FALSE)</f>
        <v>AUTO</v>
      </c>
      <c r="K532" t="str">
        <f>VLOOKUP(A532,[3]Sheet1!$A:$C,3,FALSE)</f>
        <v>ALL</v>
      </c>
    </row>
    <row r="533" spans="1:11" x14ac:dyDescent="0.25">
      <c r="A533" s="2" t="s">
        <v>536</v>
      </c>
      <c r="B533">
        <v>63</v>
      </c>
      <c r="C533" t="s">
        <v>7</v>
      </c>
      <c r="D533" t="str">
        <f>VLOOKUP(A533,[1]Sheet1!$A:$D,2,FALSE)</f>
        <v>SIEMENS</v>
      </c>
      <c r="E533" t="str">
        <f>VLOOKUP(A533,[1]Sheet1!$A:$D,3,FALSE)</f>
        <v>Symphony</v>
      </c>
      <c r="F533">
        <f>VLOOKUP(A533,[1]Sheet1!$A:$D,4,FALSE)</f>
        <v>1.5</v>
      </c>
      <c r="G533">
        <f>VLOOKUP(A533,[2]Sheet1!$A:$D,2,FALSE)</f>
        <v>0</v>
      </c>
      <c r="H533">
        <f>VLOOKUP(A533,[2]Sheet1!$A:$D,3,FALSE)</f>
        <v>-1</v>
      </c>
      <c r="I533">
        <f>VLOOKUP(A533,[2]Sheet1!$A:$D,4,FALSE)</f>
        <v>4</v>
      </c>
      <c r="J533" t="str">
        <f>VLOOKUP(A533,[3]Sheet1!$A:$C,2,FALSE)</f>
        <v>OBS1</v>
      </c>
      <c r="K533" t="str">
        <f>VLOOKUP(A533,[3]Sheet1!$A:$C,3,FALSE)</f>
        <v>T2</v>
      </c>
    </row>
    <row r="534" spans="1:11" x14ac:dyDescent="0.25">
      <c r="A534" s="2" t="s">
        <v>537</v>
      </c>
      <c r="B534">
        <v>68</v>
      </c>
      <c r="C534" t="s">
        <v>7</v>
      </c>
      <c r="D534" t="str">
        <f>VLOOKUP(A534,[1]Sheet1!$A:$D,2,FALSE)</f>
        <v>SIEMENS</v>
      </c>
      <c r="E534" t="str">
        <f>VLOOKUP(A534,[1]Sheet1!$A:$D,3,FALSE)</f>
        <v>Harmony</v>
      </c>
      <c r="F534">
        <f>VLOOKUP(A534,[1]Sheet1!$A:$D,4,FALSE)</f>
        <v>1</v>
      </c>
      <c r="G534">
        <f>VLOOKUP(A534,[2]Sheet1!$A:$D,2,FALSE)</f>
        <v>-1</v>
      </c>
      <c r="H534">
        <f>VLOOKUP(A534,[2]Sheet1!$A:$D,3,FALSE)</f>
        <v>-1</v>
      </c>
      <c r="I534">
        <f>VLOOKUP(A534,[2]Sheet1!$A:$D,4,FALSE)</f>
        <v>4</v>
      </c>
      <c r="J534" t="str">
        <f>VLOOKUP(A534,[3]Sheet1!$A:$C,2,FALSE)</f>
        <v>AUTO</v>
      </c>
      <c r="K534" t="str">
        <f>VLOOKUP(A534,[3]Sheet1!$A:$C,3,FALSE)</f>
        <v>ALL</v>
      </c>
    </row>
    <row r="535" spans="1:11" x14ac:dyDescent="0.25">
      <c r="A535" s="2" t="s">
        <v>538</v>
      </c>
      <c r="B535">
        <v>65</v>
      </c>
      <c r="C535" t="s">
        <v>4</v>
      </c>
      <c r="D535" t="str">
        <f>VLOOKUP(A535,[1]Sheet1!$A:$D,2,FALSE)</f>
        <v>Philips Medical Systems</v>
      </c>
      <c r="E535" t="str">
        <f>VLOOKUP(A535,[1]Sheet1!$A:$D,3,FALSE)</f>
        <v>Achieva</v>
      </c>
      <c r="F535">
        <f>VLOOKUP(A535,[1]Sheet1!$A:$D,4,FALSE)</f>
        <v>1.5</v>
      </c>
      <c r="G535">
        <f>VLOOKUP(A535,[2]Sheet1!$A:$D,2,FALSE)</f>
        <v>-1</v>
      </c>
      <c r="H535">
        <f>VLOOKUP(A535,[2]Sheet1!$A:$D,3,FALSE)</f>
        <v>-1</v>
      </c>
      <c r="I535">
        <f>VLOOKUP(A535,[2]Sheet1!$A:$D,4,FALSE)</f>
        <v>3</v>
      </c>
      <c r="J535" t="str">
        <f>VLOOKUP(A535,[3]Sheet1!$A:$C,2,FALSE)</f>
        <v>AUTO</v>
      </c>
      <c r="K535" t="str">
        <f>VLOOKUP(A535,[3]Sheet1!$A:$C,3,FALSE)</f>
        <v>ALL</v>
      </c>
    </row>
    <row r="536" spans="1:11" x14ac:dyDescent="0.25">
      <c r="A536" s="2" t="s">
        <v>539</v>
      </c>
      <c r="B536">
        <v>55</v>
      </c>
      <c r="C536" t="s">
        <v>7</v>
      </c>
      <c r="D536" t="str">
        <f>VLOOKUP(A536,[1]Sheet1!$A:$D,2,FALSE)</f>
        <v>GE MEDICAL SYSTEMS</v>
      </c>
      <c r="E536" t="str">
        <f>VLOOKUP(A536,[1]Sheet1!$A:$D,3,FALSE)</f>
        <v>DISCOVERY MR450</v>
      </c>
      <c r="F536">
        <f>VLOOKUP(A536,[1]Sheet1!$A:$D,4,FALSE)</f>
        <v>1.5</v>
      </c>
      <c r="G536">
        <f>VLOOKUP(A536,[2]Sheet1!$A:$D,2,FALSE)</f>
        <v>0</v>
      </c>
      <c r="H536">
        <f>VLOOKUP(A536,[2]Sheet1!$A:$D,3,FALSE)</f>
        <v>-1</v>
      </c>
      <c r="I536">
        <f>VLOOKUP(A536,[2]Sheet1!$A:$D,4,FALSE)</f>
        <v>4</v>
      </c>
      <c r="J536" t="str">
        <f>VLOOKUP(A536,[3]Sheet1!$A:$C,2,FALSE)</f>
        <v>OBS1</v>
      </c>
      <c r="K536" t="str">
        <f>VLOOKUP(A536,[3]Sheet1!$A:$C,3,FALSE)</f>
        <v>T2</v>
      </c>
    </row>
    <row r="537" spans="1:11" x14ac:dyDescent="0.25">
      <c r="A537" s="2" t="s">
        <v>540</v>
      </c>
      <c r="B537">
        <v>41</v>
      </c>
      <c r="C537" t="s">
        <v>4</v>
      </c>
      <c r="D537" t="str">
        <f>VLOOKUP(A537,[1]Sheet1!$A:$D,2,FALSE)</f>
        <v>GE MEDICAL SYSTEMS</v>
      </c>
      <c r="E537" t="str">
        <f>VLOOKUP(A537,[1]Sheet1!$A:$D,3,FALSE)</f>
        <v>GENESIS_SIGNA</v>
      </c>
      <c r="F537">
        <f>VLOOKUP(A537,[1]Sheet1!$A:$D,4,FALSE)</f>
        <v>1</v>
      </c>
      <c r="G537">
        <f>VLOOKUP(A537,[2]Sheet1!$A:$D,2,FALSE)</f>
        <v>1</v>
      </c>
      <c r="H537">
        <f>VLOOKUP(A537,[2]Sheet1!$A:$D,3,FALSE)</f>
        <v>0</v>
      </c>
      <c r="I537">
        <f>VLOOKUP(A537,[2]Sheet1!$A:$D,4,FALSE)</f>
        <v>-1</v>
      </c>
      <c r="J537" t="str">
        <f>VLOOKUP(A537,[3]Sheet1!$A:$C,2,FALSE)</f>
        <v>OBS2</v>
      </c>
      <c r="K537" t="str">
        <f>VLOOKUP(A537,[3]Sheet1!$A:$C,3,FALSE)</f>
        <v>FLAIR</v>
      </c>
    </row>
    <row r="538" spans="1:11" x14ac:dyDescent="0.25">
      <c r="A538" s="2" t="s">
        <v>541</v>
      </c>
      <c r="B538">
        <v>38</v>
      </c>
      <c r="C538" t="s">
        <v>4</v>
      </c>
      <c r="D538" t="str">
        <f>VLOOKUP(A538,[1]Sheet1!$A:$D,2,FALSE)</f>
        <v>Philips Medical Systems</v>
      </c>
      <c r="E538" t="str">
        <f>VLOOKUP(A538,[1]Sheet1!$A:$D,3,FALSE)</f>
        <v>Achieva</v>
      </c>
      <c r="F538">
        <f>VLOOKUP(A538,[1]Sheet1!$A:$D,4,FALSE)</f>
        <v>1.5</v>
      </c>
      <c r="G538">
        <f>VLOOKUP(A538,[2]Sheet1!$A:$D,2,FALSE)</f>
        <v>1</v>
      </c>
      <c r="H538">
        <f>VLOOKUP(A538,[2]Sheet1!$A:$D,3,FALSE)</f>
        <v>1</v>
      </c>
      <c r="I538">
        <f>VLOOKUP(A538,[2]Sheet1!$A:$D,4,FALSE)</f>
        <v>3</v>
      </c>
      <c r="J538" t="str">
        <f>VLOOKUP(A538,[3]Sheet1!$A:$C,2,FALSE)</f>
        <v>AUTO</v>
      </c>
      <c r="K538" t="str">
        <f>VLOOKUP(A538,[3]Sheet1!$A:$C,3,FALSE)</f>
        <v>ALL</v>
      </c>
    </row>
    <row r="539" spans="1:11" x14ac:dyDescent="0.25">
      <c r="A539" s="2" t="s">
        <v>542</v>
      </c>
      <c r="B539">
        <v>53</v>
      </c>
      <c r="C539" t="s">
        <v>4</v>
      </c>
      <c r="D539" t="str">
        <f>VLOOKUP(A539,[1]Sheet1!$A:$D,2,FALSE)</f>
        <v>Philips Medical Systems</v>
      </c>
      <c r="E539" t="str">
        <f>VLOOKUP(A539,[1]Sheet1!$A:$D,3,FALSE)</f>
        <v>Achieva</v>
      </c>
      <c r="F539">
        <f>VLOOKUP(A539,[1]Sheet1!$A:$D,4,FALSE)</f>
        <v>1.5</v>
      </c>
      <c r="G539">
        <f>VLOOKUP(A539,[2]Sheet1!$A:$D,2,FALSE)</f>
        <v>-1</v>
      </c>
      <c r="H539">
        <f>VLOOKUP(A539,[2]Sheet1!$A:$D,3,FALSE)</f>
        <v>-1</v>
      </c>
      <c r="I539">
        <f>VLOOKUP(A539,[2]Sheet1!$A:$D,4,FALSE)</f>
        <v>3</v>
      </c>
      <c r="J539" t="str">
        <f>VLOOKUP(A539,[3]Sheet1!$A:$C,2,FALSE)</f>
        <v>AUTO</v>
      </c>
      <c r="K539" t="str">
        <f>VLOOKUP(A539,[3]Sheet1!$A:$C,3,FALSE)</f>
        <v>ALL</v>
      </c>
    </row>
    <row r="540" spans="1:11" x14ac:dyDescent="0.25">
      <c r="A540" s="2" t="s">
        <v>543</v>
      </c>
      <c r="B540">
        <v>75</v>
      </c>
      <c r="C540" t="s">
        <v>4</v>
      </c>
      <c r="D540" t="str">
        <f>VLOOKUP(A540,[1]Sheet1!$A:$D,2,FALSE)</f>
        <v>Philips Medical Systems</v>
      </c>
      <c r="E540" t="str">
        <f>VLOOKUP(A540,[1]Sheet1!$A:$D,3,FALSE)</f>
        <v>Achieva</v>
      </c>
      <c r="F540">
        <f>VLOOKUP(A540,[1]Sheet1!$A:$D,4,FALSE)</f>
        <v>1.5</v>
      </c>
      <c r="G540">
        <f>VLOOKUP(A540,[2]Sheet1!$A:$D,2,FALSE)</f>
        <v>0</v>
      </c>
      <c r="H540">
        <f>VLOOKUP(A540,[2]Sheet1!$A:$D,3,FALSE)</f>
        <v>-1</v>
      </c>
      <c r="I540">
        <f>VLOOKUP(A540,[2]Sheet1!$A:$D,4,FALSE)</f>
        <v>4</v>
      </c>
      <c r="J540" t="str">
        <f>VLOOKUP(A540,[3]Sheet1!$A:$C,2,FALSE)</f>
        <v>OBS1</v>
      </c>
      <c r="K540" t="str">
        <f>VLOOKUP(A540,[3]Sheet1!$A:$C,3,FALSE)</f>
        <v>T2</v>
      </c>
    </row>
    <row r="541" spans="1:11" x14ac:dyDescent="0.25">
      <c r="A541" s="2" t="s">
        <v>544</v>
      </c>
      <c r="B541">
        <v>61</v>
      </c>
      <c r="C541" t="s">
        <v>7</v>
      </c>
      <c r="D541" t="str">
        <f>VLOOKUP(A541,[1]Sheet1!$A:$D,2,FALSE)</f>
        <v>SIEMENS</v>
      </c>
      <c r="E541" t="str">
        <f>VLOOKUP(A541,[1]Sheet1!$A:$D,3,FALSE)</f>
        <v>Avanto</v>
      </c>
      <c r="F541">
        <f>VLOOKUP(A541,[1]Sheet1!$A:$D,4,FALSE)</f>
        <v>1.5</v>
      </c>
      <c r="G541">
        <f>VLOOKUP(A541,[2]Sheet1!$A:$D,2,FALSE)</f>
        <v>-1</v>
      </c>
      <c r="H541">
        <f>VLOOKUP(A541,[2]Sheet1!$A:$D,3,FALSE)</f>
        <v>-1</v>
      </c>
      <c r="I541">
        <f>VLOOKUP(A541,[2]Sheet1!$A:$D,4,FALSE)</f>
        <v>3</v>
      </c>
      <c r="J541" t="str">
        <f>VLOOKUP(A541,[3]Sheet1!$A:$C,2,FALSE)</f>
        <v>AUTO</v>
      </c>
      <c r="K541" t="str">
        <f>VLOOKUP(A541,[3]Sheet1!$A:$C,3,FALSE)</f>
        <v>ALL</v>
      </c>
    </row>
    <row r="542" spans="1:11" x14ac:dyDescent="0.25">
      <c r="A542" s="2" t="s">
        <v>545</v>
      </c>
      <c r="B542">
        <v>50</v>
      </c>
      <c r="C542" t="s">
        <v>4</v>
      </c>
      <c r="D542" t="str">
        <f>VLOOKUP(A542,[1]Sheet1!$A:$D,2,FALSE)</f>
        <v>SIEMENS</v>
      </c>
      <c r="E542" t="str">
        <f>VLOOKUP(A542,[1]Sheet1!$A:$D,3,FALSE)</f>
        <v>Avanto</v>
      </c>
      <c r="F542">
        <f>VLOOKUP(A542,[1]Sheet1!$A:$D,4,FALSE)</f>
        <v>1.5</v>
      </c>
      <c r="G542">
        <f>VLOOKUP(A542,[2]Sheet1!$A:$D,2,FALSE)</f>
        <v>1</v>
      </c>
      <c r="H542">
        <f>VLOOKUP(A542,[2]Sheet1!$A:$D,3,FALSE)</f>
        <v>1</v>
      </c>
      <c r="I542">
        <f>VLOOKUP(A542,[2]Sheet1!$A:$D,4,FALSE)</f>
        <v>3</v>
      </c>
      <c r="J542" t="str">
        <f>VLOOKUP(A542,[3]Sheet1!$A:$C,2,FALSE)</f>
        <v>OBS1</v>
      </c>
      <c r="K542" t="str">
        <f>VLOOKUP(A542,[3]Sheet1!$A:$C,3,FALSE)</f>
        <v>FLAIR</v>
      </c>
    </row>
    <row r="543" spans="1:11" x14ac:dyDescent="0.25">
      <c r="A543" s="2" t="s">
        <v>546</v>
      </c>
      <c r="B543">
        <v>38</v>
      </c>
      <c r="C543" t="s">
        <v>4</v>
      </c>
      <c r="D543" t="str">
        <f>VLOOKUP(A543,[1]Sheet1!$A:$D,2,FALSE)</f>
        <v>SIEMENS</v>
      </c>
      <c r="E543" t="str">
        <f>VLOOKUP(A543,[1]Sheet1!$A:$D,3,FALSE)</f>
        <v>Avanto</v>
      </c>
      <c r="F543">
        <f>VLOOKUP(A543,[1]Sheet1!$A:$D,4,FALSE)</f>
        <v>1.5</v>
      </c>
      <c r="G543">
        <f>VLOOKUP(A543,[2]Sheet1!$A:$D,2,FALSE)</f>
        <v>-1</v>
      </c>
      <c r="H543">
        <f>VLOOKUP(A543,[2]Sheet1!$A:$D,3,FALSE)</f>
        <v>-1</v>
      </c>
      <c r="I543">
        <f>VLOOKUP(A543,[2]Sheet1!$A:$D,4,FALSE)</f>
        <v>4</v>
      </c>
      <c r="J543" t="str">
        <f>VLOOKUP(A543,[3]Sheet1!$A:$C,2,FALSE)</f>
        <v>AUTO</v>
      </c>
      <c r="K543" t="str">
        <f>VLOOKUP(A543,[3]Sheet1!$A:$C,3,FALSE)</f>
        <v>ALL</v>
      </c>
    </row>
    <row r="544" spans="1:11" x14ac:dyDescent="0.25">
      <c r="A544" s="2" t="s">
        <v>547</v>
      </c>
      <c r="B544">
        <v>50</v>
      </c>
      <c r="C544" t="s">
        <v>7</v>
      </c>
      <c r="D544" t="str">
        <f>VLOOKUP(A544,[1]Sheet1!$A:$D,2,FALSE)</f>
        <v>SIEMENS</v>
      </c>
      <c r="E544" t="str">
        <f>VLOOKUP(A544,[1]Sheet1!$A:$D,3,FALSE)</f>
        <v>Symphony</v>
      </c>
      <c r="F544">
        <f>VLOOKUP(A544,[1]Sheet1!$A:$D,4,FALSE)</f>
        <v>1.5</v>
      </c>
      <c r="G544">
        <f>VLOOKUP(A544,[2]Sheet1!$A:$D,2,FALSE)</f>
        <v>1</v>
      </c>
      <c r="H544">
        <f>VLOOKUP(A544,[2]Sheet1!$A:$D,3,FALSE)</f>
        <v>-1</v>
      </c>
      <c r="I544">
        <f>VLOOKUP(A544,[2]Sheet1!$A:$D,4,FALSE)</f>
        <v>-1</v>
      </c>
      <c r="J544" t="str">
        <f>VLOOKUP(A544,[3]Sheet1!$A:$C,2,FALSE)</f>
        <v>OBS1</v>
      </c>
      <c r="K544" t="str">
        <f>VLOOKUP(A544,[3]Sheet1!$A:$C,3,FALSE)</f>
        <v>T2</v>
      </c>
    </row>
    <row r="545" spans="1:11" x14ac:dyDescent="0.25">
      <c r="A545" s="2" t="s">
        <v>548</v>
      </c>
      <c r="B545">
        <v>50</v>
      </c>
      <c r="C545" t="s">
        <v>4</v>
      </c>
      <c r="D545" t="str">
        <f>VLOOKUP(A545,[1]Sheet1!$A:$D,2,FALSE)</f>
        <v>SIEMENS</v>
      </c>
      <c r="E545" t="str">
        <f>VLOOKUP(A545,[1]Sheet1!$A:$D,3,FALSE)</f>
        <v>Symphony</v>
      </c>
      <c r="F545">
        <f>VLOOKUP(A545,[1]Sheet1!$A:$D,4,FALSE)</f>
        <v>1.5</v>
      </c>
      <c r="G545">
        <f>VLOOKUP(A545,[2]Sheet1!$A:$D,2,FALSE)</f>
        <v>0</v>
      </c>
      <c r="H545">
        <f>VLOOKUP(A545,[2]Sheet1!$A:$D,3,FALSE)</f>
        <v>-1</v>
      </c>
      <c r="I545">
        <f>VLOOKUP(A545,[2]Sheet1!$A:$D,4,FALSE)</f>
        <v>4</v>
      </c>
      <c r="J545" t="str">
        <f>VLOOKUP(A545,[3]Sheet1!$A:$C,2,FALSE)</f>
        <v>OBS1</v>
      </c>
      <c r="K545" t="str">
        <f>VLOOKUP(A545,[3]Sheet1!$A:$C,3,FALSE)</f>
        <v>T2</v>
      </c>
    </row>
    <row r="546" spans="1:11" x14ac:dyDescent="0.25">
      <c r="A546" s="2" t="s">
        <v>549</v>
      </c>
      <c r="B546">
        <v>47</v>
      </c>
      <c r="C546" t="s">
        <v>7</v>
      </c>
      <c r="D546" t="str">
        <f>VLOOKUP(A546,[1]Sheet1!$A:$D,2,FALSE)</f>
        <v>SIEMENS</v>
      </c>
      <c r="E546" t="str">
        <f>VLOOKUP(A546,[1]Sheet1!$A:$D,3,FALSE)</f>
        <v>Avanto</v>
      </c>
      <c r="F546">
        <f>VLOOKUP(A546,[1]Sheet1!$A:$D,4,FALSE)</f>
        <v>1.5</v>
      </c>
      <c r="G546">
        <f>VLOOKUP(A546,[2]Sheet1!$A:$D,2,FALSE)</f>
        <v>0</v>
      </c>
      <c r="H546">
        <f>VLOOKUP(A546,[2]Sheet1!$A:$D,3,FALSE)</f>
        <v>0</v>
      </c>
      <c r="I546">
        <f>VLOOKUP(A546,[2]Sheet1!$A:$D,4,FALSE)</f>
        <v>2</v>
      </c>
      <c r="J546" t="str">
        <f>VLOOKUP(A546,[3]Sheet1!$A:$C,2,FALSE)</f>
        <v>AUTO</v>
      </c>
      <c r="K546" t="str">
        <f>VLOOKUP(A546,[3]Sheet1!$A:$C,3,FALSE)</f>
        <v>ALL</v>
      </c>
    </row>
    <row r="547" spans="1:11" x14ac:dyDescent="0.25">
      <c r="A547" s="2" t="s">
        <v>550</v>
      </c>
      <c r="B547">
        <v>73</v>
      </c>
      <c r="C547" t="s">
        <v>4</v>
      </c>
      <c r="D547" t="str">
        <f>VLOOKUP(A547,[1]Sheet1!$A:$D,2,FALSE)</f>
        <v>Philips Medical Systems</v>
      </c>
      <c r="E547" t="str">
        <f>VLOOKUP(A547,[1]Sheet1!$A:$D,3,FALSE)</f>
        <v>Intera</v>
      </c>
      <c r="F547">
        <f>VLOOKUP(A547,[1]Sheet1!$A:$D,4,FALSE)</f>
        <v>1.5</v>
      </c>
      <c r="G547">
        <f>VLOOKUP(A547,[2]Sheet1!$A:$D,2,FALSE)</f>
        <v>-1</v>
      </c>
      <c r="H547">
        <f>VLOOKUP(A547,[2]Sheet1!$A:$D,3,FALSE)</f>
        <v>-1</v>
      </c>
      <c r="I547">
        <f>VLOOKUP(A547,[2]Sheet1!$A:$D,4,FALSE)</f>
        <v>3</v>
      </c>
      <c r="J547" t="str">
        <f>VLOOKUP(A547,[3]Sheet1!$A:$C,2,FALSE)</f>
        <v>AUTO</v>
      </c>
      <c r="K547" t="str">
        <f>VLOOKUP(A547,[3]Sheet1!$A:$C,3,FALSE)</f>
        <v>ALL</v>
      </c>
    </row>
    <row r="548" spans="1:11" x14ac:dyDescent="0.25">
      <c r="A548" s="2" t="s">
        <v>551</v>
      </c>
      <c r="B548">
        <v>69</v>
      </c>
      <c r="C548" t="s">
        <v>4</v>
      </c>
      <c r="D548" t="str">
        <f>VLOOKUP(A548,[1]Sheet1!$A:$D,2,FALSE)</f>
        <v>SIEMENS</v>
      </c>
      <c r="E548" t="str">
        <f>VLOOKUP(A548,[1]Sheet1!$A:$D,3,FALSE)</f>
        <v>Aera</v>
      </c>
      <c r="F548">
        <f>VLOOKUP(A548,[1]Sheet1!$A:$D,4,FALSE)</f>
        <v>1.5</v>
      </c>
      <c r="G548">
        <f>VLOOKUP(A548,[2]Sheet1!$A:$D,2,FALSE)</f>
        <v>0</v>
      </c>
      <c r="H548">
        <f>VLOOKUP(A548,[2]Sheet1!$A:$D,3,FALSE)</f>
        <v>-1</v>
      </c>
      <c r="I548">
        <f>VLOOKUP(A548,[2]Sheet1!$A:$D,4,FALSE)</f>
        <v>4</v>
      </c>
      <c r="J548" t="str">
        <f>VLOOKUP(A548,[3]Sheet1!$A:$C,2,FALSE)</f>
        <v>OBS1</v>
      </c>
      <c r="K548" t="str">
        <f>VLOOKUP(A548,[3]Sheet1!$A:$C,3,FALSE)</f>
        <v>FLAIR</v>
      </c>
    </row>
    <row r="549" spans="1:11" x14ac:dyDescent="0.25">
      <c r="A549" s="2" t="s">
        <v>552</v>
      </c>
      <c r="B549">
        <v>-1</v>
      </c>
      <c r="C549" t="s">
        <v>4</v>
      </c>
      <c r="D549" t="str">
        <f>VLOOKUP(A549,[1]Sheet1!$A:$D,2,FALSE)</f>
        <v>SIEMENS</v>
      </c>
      <c r="E549" t="str">
        <f>VLOOKUP(A549,[1]Sheet1!$A:$D,3,FALSE)</f>
        <v>Aera</v>
      </c>
      <c r="F549">
        <f>VLOOKUP(A549,[1]Sheet1!$A:$D,4,FALSE)</f>
        <v>1.5</v>
      </c>
      <c r="G549">
        <f>VLOOKUP(A549,[2]Sheet1!$A:$D,2,FALSE)</f>
        <v>0</v>
      </c>
      <c r="H549">
        <f>VLOOKUP(A549,[2]Sheet1!$A:$D,3,FALSE)</f>
        <v>0</v>
      </c>
      <c r="I549">
        <f>VLOOKUP(A549,[2]Sheet1!$A:$D,4,FALSE)</f>
        <v>-1</v>
      </c>
      <c r="J549" t="str">
        <f>VLOOKUP(A549,[3]Sheet1!$A:$C,2,FALSE)</f>
        <v>OBS1</v>
      </c>
      <c r="K549" t="str">
        <f>VLOOKUP(A549,[3]Sheet1!$A:$C,3,FALSE)</f>
        <v>T2</v>
      </c>
    </row>
    <row r="550" spans="1:11" x14ac:dyDescent="0.25">
      <c r="A550" s="2" t="s">
        <v>553</v>
      </c>
      <c r="B550">
        <v>-1</v>
      </c>
      <c r="C550" t="s">
        <v>4</v>
      </c>
      <c r="D550" t="str">
        <f>VLOOKUP(A550,[1]Sheet1!$A:$D,2,FALSE)</f>
        <v>Philips Healthcare</v>
      </c>
      <c r="E550" t="str">
        <f>VLOOKUP(A550,[1]Sheet1!$A:$D,3,FALSE)</f>
        <v>Ingenia</v>
      </c>
      <c r="F550">
        <f>VLOOKUP(A550,[1]Sheet1!$A:$D,4,FALSE)</f>
        <v>3</v>
      </c>
      <c r="G550">
        <f>VLOOKUP(A550,[2]Sheet1!$A:$D,2,FALSE)</f>
        <v>0</v>
      </c>
      <c r="H550">
        <f>VLOOKUP(A550,[2]Sheet1!$A:$D,3,FALSE)</f>
        <v>-1</v>
      </c>
      <c r="I550">
        <f>VLOOKUP(A550,[2]Sheet1!$A:$D,4,FALSE)</f>
        <v>-1</v>
      </c>
      <c r="J550" t="str">
        <f>VLOOKUP(A550,[3]Sheet1!$A:$C,2,FALSE)</f>
        <v>OBS1</v>
      </c>
      <c r="K550" t="str">
        <f>VLOOKUP(A550,[3]Sheet1!$A:$C,3,FALSE)</f>
        <v>FLAIR</v>
      </c>
    </row>
    <row r="551" spans="1:11" x14ac:dyDescent="0.25">
      <c r="A551" s="2" t="s">
        <v>554</v>
      </c>
      <c r="B551">
        <v>56</v>
      </c>
      <c r="C551" t="s">
        <v>7</v>
      </c>
      <c r="D551" t="str">
        <f>VLOOKUP(A551,[1]Sheet1!$A:$D,2,FALSE)</f>
        <v>SIEMENS</v>
      </c>
      <c r="E551" t="str">
        <f>VLOOKUP(A551,[1]Sheet1!$A:$D,3,FALSE)</f>
        <v>Symphony</v>
      </c>
      <c r="F551">
        <f>VLOOKUP(A551,[1]Sheet1!$A:$D,4,FALSE)</f>
        <v>1.5</v>
      </c>
      <c r="G551">
        <f>VLOOKUP(A551,[2]Sheet1!$A:$D,2,FALSE)</f>
        <v>-1</v>
      </c>
      <c r="H551">
        <f>VLOOKUP(A551,[2]Sheet1!$A:$D,3,FALSE)</f>
        <v>-1</v>
      </c>
      <c r="I551">
        <f>VLOOKUP(A551,[2]Sheet1!$A:$D,4,FALSE)</f>
        <v>4</v>
      </c>
      <c r="J551" t="str">
        <f>VLOOKUP(A551,[3]Sheet1!$A:$C,2,FALSE)</f>
        <v>AUTO</v>
      </c>
      <c r="K551" t="str">
        <f>VLOOKUP(A551,[3]Sheet1!$A:$C,3,FALSE)</f>
        <v>ALL</v>
      </c>
    </row>
    <row r="552" spans="1:11" x14ac:dyDescent="0.25">
      <c r="A552" s="2" t="s">
        <v>555</v>
      </c>
      <c r="B552">
        <v>74</v>
      </c>
      <c r="C552" t="s">
        <v>4</v>
      </c>
      <c r="D552" t="str">
        <f>VLOOKUP(A552,[1]Sheet1!$A:$D,2,FALSE)</f>
        <v>Philips Medical Systems</v>
      </c>
      <c r="E552" t="str">
        <f>VLOOKUP(A552,[1]Sheet1!$A:$D,3,FALSE)</f>
        <v>Intera</v>
      </c>
      <c r="F552">
        <f>VLOOKUP(A552,[1]Sheet1!$A:$D,4,FALSE)</f>
        <v>1.5</v>
      </c>
      <c r="G552">
        <f>VLOOKUP(A552,[2]Sheet1!$A:$D,2,FALSE)</f>
        <v>-1</v>
      </c>
      <c r="H552">
        <f>VLOOKUP(A552,[2]Sheet1!$A:$D,3,FALSE)</f>
        <v>-1</v>
      </c>
      <c r="I552">
        <f>VLOOKUP(A552,[2]Sheet1!$A:$D,4,FALSE)</f>
        <v>4</v>
      </c>
      <c r="J552" t="str">
        <f>VLOOKUP(A552,[3]Sheet1!$A:$C,2,FALSE)</f>
        <v>AUTO</v>
      </c>
      <c r="K552" t="str">
        <f>VLOOKUP(A552,[3]Sheet1!$A:$C,3,FALSE)</f>
        <v>ALL</v>
      </c>
    </row>
    <row r="553" spans="1:11" x14ac:dyDescent="0.25">
      <c r="A553" s="2" t="s">
        <v>556</v>
      </c>
      <c r="B553">
        <v>50</v>
      </c>
      <c r="C553" t="s">
        <v>7</v>
      </c>
      <c r="D553" t="str">
        <f>VLOOKUP(A553,[1]Sheet1!$A:$D,2,FALSE)</f>
        <v>Philips Medical Systems</v>
      </c>
      <c r="E553" t="str">
        <f>VLOOKUP(A553,[1]Sheet1!$A:$D,3,FALSE)</f>
        <v>Intera</v>
      </c>
      <c r="F553">
        <f>VLOOKUP(A553,[1]Sheet1!$A:$D,4,FALSE)</f>
        <v>1.5</v>
      </c>
      <c r="G553">
        <f>VLOOKUP(A553,[2]Sheet1!$A:$D,2,FALSE)</f>
        <v>1</v>
      </c>
      <c r="H553">
        <f>VLOOKUP(A553,[2]Sheet1!$A:$D,3,FALSE)</f>
        <v>1</v>
      </c>
      <c r="I553">
        <f>VLOOKUP(A553,[2]Sheet1!$A:$D,4,FALSE)</f>
        <v>-1</v>
      </c>
      <c r="J553" t="str">
        <f>VLOOKUP(A553,[3]Sheet1!$A:$C,2,FALSE)</f>
        <v>OBS2</v>
      </c>
      <c r="K553" t="str">
        <f>VLOOKUP(A553,[3]Sheet1!$A:$C,3,FALSE)</f>
        <v>FLAIR</v>
      </c>
    </row>
    <row r="554" spans="1:11" x14ac:dyDescent="0.25">
      <c r="A554" s="2" t="s">
        <v>557</v>
      </c>
      <c r="B554">
        <v>32</v>
      </c>
      <c r="C554" t="s">
        <v>7</v>
      </c>
      <c r="D554" t="str">
        <f>VLOOKUP(A554,[1]Sheet1!$A:$D,2,FALSE)</f>
        <v>SIEMENS</v>
      </c>
      <c r="E554" t="str">
        <f>VLOOKUP(A554,[1]Sheet1!$A:$D,3,FALSE)</f>
        <v>Symphony</v>
      </c>
      <c r="F554">
        <f>VLOOKUP(A554,[1]Sheet1!$A:$D,4,FALSE)</f>
        <v>1.5</v>
      </c>
      <c r="G554">
        <f>VLOOKUP(A554,[2]Sheet1!$A:$D,2,FALSE)</f>
        <v>1</v>
      </c>
      <c r="H554">
        <f>VLOOKUP(A554,[2]Sheet1!$A:$D,3,FALSE)</f>
        <v>0</v>
      </c>
      <c r="I554">
        <f>VLOOKUP(A554,[2]Sheet1!$A:$D,4,FALSE)</f>
        <v>2</v>
      </c>
      <c r="J554" t="str">
        <f>VLOOKUP(A554,[3]Sheet1!$A:$C,2,FALSE)</f>
        <v>AUTO</v>
      </c>
      <c r="K554" t="str">
        <f>VLOOKUP(A554,[3]Sheet1!$A:$C,3,FALSE)</f>
        <v>ALL</v>
      </c>
    </row>
    <row r="555" spans="1:11" x14ac:dyDescent="0.25">
      <c r="A555" s="2" t="s">
        <v>558</v>
      </c>
      <c r="B555">
        <v>77</v>
      </c>
      <c r="C555" t="s">
        <v>4</v>
      </c>
      <c r="D555" t="str">
        <f>VLOOKUP(A555,[1]Sheet1!$A:$D,2,FALSE)</f>
        <v>SIEMENS</v>
      </c>
      <c r="E555" t="str">
        <f>VLOOKUP(A555,[1]Sheet1!$A:$D,3,FALSE)</f>
        <v>MAGNETOM EXPERT</v>
      </c>
      <c r="F555">
        <f>VLOOKUP(A555,[1]Sheet1!$A:$D,4,FALSE)</f>
        <v>1</v>
      </c>
      <c r="G555">
        <f>VLOOKUP(A555,[2]Sheet1!$A:$D,2,FALSE)</f>
        <v>-1</v>
      </c>
      <c r="H555">
        <f>VLOOKUP(A555,[2]Sheet1!$A:$D,3,FALSE)</f>
        <v>-1</v>
      </c>
      <c r="I555">
        <f>VLOOKUP(A555,[2]Sheet1!$A:$D,4,FALSE)</f>
        <v>3</v>
      </c>
      <c r="J555" t="str">
        <f>VLOOKUP(A555,[3]Sheet1!$A:$C,2,FALSE)</f>
        <v>AUTO</v>
      </c>
      <c r="K555" t="str">
        <f>VLOOKUP(A555,[3]Sheet1!$A:$C,3,FALSE)</f>
        <v>ALL</v>
      </c>
    </row>
    <row r="556" spans="1:11" x14ac:dyDescent="0.25">
      <c r="A556" s="2" t="s">
        <v>559</v>
      </c>
      <c r="B556">
        <v>65</v>
      </c>
      <c r="C556" t="s">
        <v>7</v>
      </c>
      <c r="D556" t="str">
        <f>VLOOKUP(A556,[1]Sheet1!$A:$D,2,FALSE)</f>
        <v>Philips Medical Systems</v>
      </c>
      <c r="E556" t="str">
        <f>VLOOKUP(A556,[1]Sheet1!$A:$D,3,FALSE)</f>
        <v>Achieva</v>
      </c>
      <c r="F556">
        <f>VLOOKUP(A556,[1]Sheet1!$A:$D,4,FALSE)</f>
        <v>1.5</v>
      </c>
      <c r="G556">
        <f>VLOOKUP(A556,[2]Sheet1!$A:$D,2,FALSE)</f>
        <v>-1</v>
      </c>
      <c r="H556">
        <f>VLOOKUP(A556,[2]Sheet1!$A:$D,3,FALSE)</f>
        <v>-1</v>
      </c>
      <c r="I556">
        <f>VLOOKUP(A556,[2]Sheet1!$A:$D,4,FALSE)</f>
        <v>4</v>
      </c>
      <c r="J556" t="str">
        <f>VLOOKUP(A556,[3]Sheet1!$A:$C,2,FALSE)</f>
        <v>AUTO</v>
      </c>
      <c r="K556" t="str">
        <f>VLOOKUP(A556,[3]Sheet1!$A:$C,3,FALSE)</f>
        <v>ALL</v>
      </c>
    </row>
    <row r="557" spans="1:11" x14ac:dyDescent="0.25">
      <c r="A557" s="2" t="s">
        <v>560</v>
      </c>
      <c r="B557">
        <v>77</v>
      </c>
      <c r="C557" t="s">
        <v>7</v>
      </c>
      <c r="D557" t="str">
        <f>VLOOKUP(A557,[1]Sheet1!$A:$D,2,FALSE)</f>
        <v>Philips Medical Systems</v>
      </c>
      <c r="E557" t="str">
        <f>VLOOKUP(A557,[1]Sheet1!$A:$D,3,FALSE)</f>
        <v>Intera</v>
      </c>
      <c r="F557">
        <f>VLOOKUP(A557,[1]Sheet1!$A:$D,4,FALSE)</f>
        <v>1</v>
      </c>
      <c r="G557">
        <f>VLOOKUP(A557,[2]Sheet1!$A:$D,2,FALSE)</f>
        <v>-1</v>
      </c>
      <c r="H557">
        <f>VLOOKUP(A557,[2]Sheet1!$A:$D,3,FALSE)</f>
        <v>-1</v>
      </c>
      <c r="I557">
        <f>VLOOKUP(A557,[2]Sheet1!$A:$D,4,FALSE)</f>
        <v>4</v>
      </c>
      <c r="J557" t="str">
        <f>VLOOKUP(A557,[3]Sheet1!$A:$C,2,FALSE)</f>
        <v>AUTO</v>
      </c>
      <c r="K557" t="str">
        <f>VLOOKUP(A557,[3]Sheet1!$A:$C,3,FALSE)</f>
        <v>ALL</v>
      </c>
    </row>
    <row r="558" spans="1:11" x14ac:dyDescent="0.25">
      <c r="A558" s="2" t="s">
        <v>561</v>
      </c>
      <c r="B558">
        <v>-1</v>
      </c>
      <c r="C558" t="s">
        <v>7</v>
      </c>
      <c r="D558" t="str">
        <f>VLOOKUP(A558,[1]Sheet1!$A:$D,2,FALSE)</f>
        <v>Philips Medical Systems</v>
      </c>
      <c r="E558" t="str">
        <f>VLOOKUP(A558,[1]Sheet1!$A:$D,3,FALSE)</f>
        <v>Achieva dStream</v>
      </c>
      <c r="F558">
        <f>VLOOKUP(A558,[1]Sheet1!$A:$D,4,FALSE)</f>
        <v>1.5</v>
      </c>
      <c r="G558">
        <f>VLOOKUP(A558,[2]Sheet1!$A:$D,2,FALSE)</f>
        <v>0</v>
      </c>
      <c r="H558">
        <f>VLOOKUP(A558,[2]Sheet1!$A:$D,3,FALSE)</f>
        <v>-1</v>
      </c>
      <c r="I558">
        <f>VLOOKUP(A558,[2]Sheet1!$A:$D,4,FALSE)</f>
        <v>-1</v>
      </c>
      <c r="J558" t="str">
        <f>VLOOKUP(A558,[3]Sheet1!$A:$C,2,FALSE)</f>
        <v>OBS1</v>
      </c>
      <c r="K558" t="str">
        <f>VLOOKUP(A558,[3]Sheet1!$A:$C,3,FALSE)</f>
        <v>FLAIR</v>
      </c>
    </row>
    <row r="559" spans="1:11" x14ac:dyDescent="0.25">
      <c r="A559" s="2" t="s">
        <v>562</v>
      </c>
      <c r="B559">
        <v>44</v>
      </c>
      <c r="C559" t="s">
        <v>7</v>
      </c>
      <c r="D559" t="str">
        <f>VLOOKUP(A559,[1]Sheet1!$A:$D,2,FALSE)</f>
        <v>SIEMENS</v>
      </c>
      <c r="E559" t="str">
        <f>VLOOKUP(A559,[1]Sheet1!$A:$D,3,FALSE)</f>
        <v>Symphony</v>
      </c>
      <c r="F559">
        <f>VLOOKUP(A559,[1]Sheet1!$A:$D,4,FALSE)</f>
        <v>1.5</v>
      </c>
      <c r="G559">
        <f>VLOOKUP(A559,[2]Sheet1!$A:$D,2,FALSE)</f>
        <v>0</v>
      </c>
      <c r="H559">
        <f>VLOOKUP(A559,[2]Sheet1!$A:$D,3,FALSE)</f>
        <v>-1</v>
      </c>
      <c r="I559">
        <f>VLOOKUP(A559,[2]Sheet1!$A:$D,4,FALSE)</f>
        <v>4</v>
      </c>
      <c r="J559" t="str">
        <f>VLOOKUP(A559,[3]Sheet1!$A:$C,2,FALSE)</f>
        <v>AUTO</v>
      </c>
      <c r="K559" t="str">
        <f>VLOOKUP(A559,[3]Sheet1!$A:$C,3,FALSE)</f>
        <v>ALL</v>
      </c>
    </row>
    <row r="560" spans="1:11" x14ac:dyDescent="0.25">
      <c r="A560" s="2" t="s">
        <v>563</v>
      </c>
      <c r="B560">
        <v>30</v>
      </c>
      <c r="C560" t="s">
        <v>7</v>
      </c>
      <c r="D560" t="str">
        <f>VLOOKUP(A560,[1]Sheet1!$A:$D,2,FALSE)</f>
        <v>SIEMENS</v>
      </c>
      <c r="E560" t="str">
        <f>VLOOKUP(A560,[1]Sheet1!$A:$D,3,FALSE)</f>
        <v>Symphony</v>
      </c>
      <c r="F560">
        <f>VLOOKUP(A560,[1]Sheet1!$A:$D,4,FALSE)</f>
        <v>1.5</v>
      </c>
      <c r="G560">
        <f>VLOOKUP(A560,[2]Sheet1!$A:$D,2,FALSE)</f>
        <v>-1</v>
      </c>
      <c r="H560">
        <f>VLOOKUP(A560,[2]Sheet1!$A:$D,3,FALSE)</f>
        <v>-1</v>
      </c>
      <c r="I560">
        <f>VLOOKUP(A560,[2]Sheet1!$A:$D,4,FALSE)</f>
        <v>4</v>
      </c>
      <c r="J560" t="str">
        <f>VLOOKUP(A560,[3]Sheet1!$A:$C,2,FALSE)</f>
        <v>AUTO</v>
      </c>
      <c r="K560" t="str">
        <f>VLOOKUP(A560,[3]Sheet1!$A:$C,3,FALSE)</f>
        <v>ALL</v>
      </c>
    </row>
    <row r="561" spans="1:11" x14ac:dyDescent="0.25">
      <c r="A561" s="2" t="s">
        <v>564</v>
      </c>
      <c r="B561">
        <v>44</v>
      </c>
      <c r="C561" t="s">
        <v>7</v>
      </c>
      <c r="D561" t="str">
        <f>VLOOKUP(A561,[1]Sheet1!$A:$D,2,FALSE)</f>
        <v>Philips Medical Systems</v>
      </c>
      <c r="E561" t="str">
        <f>VLOOKUP(A561,[1]Sheet1!$A:$D,3,FALSE)</f>
        <v>Achieva</v>
      </c>
      <c r="F561">
        <f>VLOOKUP(A561,[1]Sheet1!$A:$D,4,FALSE)</f>
        <v>3</v>
      </c>
      <c r="G561">
        <f>VLOOKUP(A561,[2]Sheet1!$A:$D,2,FALSE)</f>
        <v>-1</v>
      </c>
      <c r="H561">
        <f>VLOOKUP(A561,[2]Sheet1!$A:$D,3,FALSE)</f>
        <v>-1</v>
      </c>
      <c r="I561">
        <f>VLOOKUP(A561,[2]Sheet1!$A:$D,4,FALSE)</f>
        <v>4</v>
      </c>
      <c r="J561" t="str">
        <f>VLOOKUP(A561,[3]Sheet1!$A:$C,2,FALSE)</f>
        <v>AUTO</v>
      </c>
      <c r="K561" t="str">
        <f>VLOOKUP(A561,[3]Sheet1!$A:$C,3,FALSE)</f>
        <v>ALL</v>
      </c>
    </row>
    <row r="562" spans="1:11" x14ac:dyDescent="0.25">
      <c r="A562" s="2" t="s">
        <v>565</v>
      </c>
      <c r="B562">
        <v>43</v>
      </c>
      <c r="C562" t="s">
        <v>4</v>
      </c>
      <c r="D562" t="str">
        <f>VLOOKUP(A562,[1]Sheet1!$A:$D,2,FALSE)</f>
        <v>Philips Medical Systems</v>
      </c>
      <c r="E562" t="str">
        <f>VLOOKUP(A562,[1]Sheet1!$A:$D,3,FALSE)</f>
        <v>Panorama</v>
      </c>
      <c r="F562">
        <f>VLOOKUP(A562,[1]Sheet1!$A:$D,4,FALSE)</f>
        <v>1</v>
      </c>
      <c r="G562">
        <f>VLOOKUP(A562,[2]Sheet1!$A:$D,2,FALSE)</f>
        <v>1</v>
      </c>
      <c r="H562">
        <f>VLOOKUP(A562,[2]Sheet1!$A:$D,3,FALSE)</f>
        <v>1</v>
      </c>
      <c r="I562">
        <f>VLOOKUP(A562,[2]Sheet1!$A:$D,4,FALSE)</f>
        <v>2</v>
      </c>
      <c r="J562" t="str">
        <f>VLOOKUP(A562,[3]Sheet1!$A:$C,2,FALSE)</f>
        <v>OBS2</v>
      </c>
      <c r="K562" t="str">
        <f>VLOOKUP(A562,[3]Sheet1!$A:$C,3,FALSE)</f>
        <v>FLAIR</v>
      </c>
    </row>
    <row r="563" spans="1:11" x14ac:dyDescent="0.25">
      <c r="A563" s="2" t="s">
        <v>566</v>
      </c>
      <c r="B563">
        <v>59</v>
      </c>
      <c r="C563" t="s">
        <v>4</v>
      </c>
      <c r="D563" t="str">
        <f>VLOOKUP(A563,[1]Sheet1!$A:$D,2,FALSE)</f>
        <v>SIEMENS</v>
      </c>
      <c r="E563" t="str">
        <f>VLOOKUP(A563,[1]Sheet1!$A:$D,3,FALSE)</f>
        <v>Aera</v>
      </c>
      <c r="F563">
        <f>VLOOKUP(A563,[1]Sheet1!$A:$D,4,FALSE)</f>
        <v>1.5</v>
      </c>
      <c r="G563">
        <f>VLOOKUP(A563,[2]Sheet1!$A:$D,2,FALSE)</f>
        <v>-1</v>
      </c>
      <c r="H563">
        <f>VLOOKUP(A563,[2]Sheet1!$A:$D,3,FALSE)</f>
        <v>-1</v>
      </c>
      <c r="I563">
        <f>VLOOKUP(A563,[2]Sheet1!$A:$D,4,FALSE)</f>
        <v>4</v>
      </c>
      <c r="J563" t="str">
        <f>VLOOKUP(A563,[3]Sheet1!$A:$C,2,FALSE)</f>
        <v>AUTO</v>
      </c>
      <c r="K563" t="str">
        <f>VLOOKUP(A563,[3]Sheet1!$A:$C,3,FALSE)</f>
        <v>ALL</v>
      </c>
    </row>
    <row r="564" spans="1:11" x14ac:dyDescent="0.25">
      <c r="A564" s="2" t="s">
        <v>567</v>
      </c>
      <c r="B564">
        <v>25</v>
      </c>
      <c r="C564" t="s">
        <v>7</v>
      </c>
      <c r="D564" t="str">
        <f>VLOOKUP(A564,[1]Sheet1!$A:$D,2,FALSE)</f>
        <v>Philips Medical Systems</v>
      </c>
      <c r="E564" t="str">
        <f>VLOOKUP(A564,[1]Sheet1!$A:$D,3,FALSE)</f>
        <v>Intera</v>
      </c>
      <c r="F564">
        <f>VLOOKUP(A564,[1]Sheet1!$A:$D,4,FALSE)</f>
        <v>1.5</v>
      </c>
      <c r="G564">
        <f>VLOOKUP(A564,[2]Sheet1!$A:$D,2,FALSE)</f>
        <v>1</v>
      </c>
      <c r="H564">
        <f>VLOOKUP(A564,[2]Sheet1!$A:$D,3,FALSE)</f>
        <v>0</v>
      </c>
      <c r="I564">
        <f>VLOOKUP(A564,[2]Sheet1!$A:$D,4,FALSE)</f>
        <v>-1</v>
      </c>
      <c r="J564" t="str">
        <f>VLOOKUP(A564,[3]Sheet1!$A:$C,2,FALSE)</f>
        <v>OBS2</v>
      </c>
      <c r="K564" t="str">
        <f>VLOOKUP(A564,[3]Sheet1!$A:$C,3,FALSE)</f>
        <v>FLAIR</v>
      </c>
    </row>
    <row r="565" spans="1:11" x14ac:dyDescent="0.25">
      <c r="A565" s="2" t="s">
        <v>568</v>
      </c>
      <c r="B565">
        <v>45</v>
      </c>
      <c r="C565" t="s">
        <v>7</v>
      </c>
      <c r="D565" t="str">
        <f>VLOOKUP(A565,[1]Sheet1!$A:$D,2,FALSE)</f>
        <v>Philips Medical Systems</v>
      </c>
      <c r="E565" t="str">
        <f>VLOOKUP(A565,[1]Sheet1!$A:$D,3,FALSE)</f>
        <v>Intera</v>
      </c>
      <c r="F565">
        <f>VLOOKUP(A565,[1]Sheet1!$A:$D,4,FALSE)</f>
        <v>1.5</v>
      </c>
      <c r="G565">
        <f>VLOOKUP(A565,[2]Sheet1!$A:$D,2,FALSE)</f>
        <v>1</v>
      </c>
      <c r="H565">
        <f>VLOOKUP(A565,[2]Sheet1!$A:$D,3,FALSE)</f>
        <v>0</v>
      </c>
      <c r="I565">
        <f>VLOOKUP(A565,[2]Sheet1!$A:$D,4,FALSE)</f>
        <v>3</v>
      </c>
      <c r="J565" t="str">
        <f>VLOOKUP(A565,[3]Sheet1!$A:$C,2,FALSE)</f>
        <v>OBS1</v>
      </c>
      <c r="K565" t="str">
        <f>VLOOKUP(A565,[3]Sheet1!$A:$C,3,FALSE)</f>
        <v>FLAIR</v>
      </c>
    </row>
    <row r="566" spans="1:11" x14ac:dyDescent="0.25">
      <c r="A566" s="2" t="s">
        <v>569</v>
      </c>
      <c r="B566">
        <v>35</v>
      </c>
      <c r="C566" t="s">
        <v>4</v>
      </c>
      <c r="D566" t="str">
        <f>VLOOKUP(A566,[1]Sheet1!$A:$D,2,FALSE)</f>
        <v>Philips Medical Systems</v>
      </c>
      <c r="E566" t="str">
        <f>VLOOKUP(A566,[1]Sheet1!$A:$D,3,FALSE)</f>
        <v>Intera</v>
      </c>
      <c r="F566">
        <f>VLOOKUP(A566,[1]Sheet1!$A:$D,4,FALSE)</f>
        <v>1.5</v>
      </c>
      <c r="G566">
        <f>VLOOKUP(A566,[2]Sheet1!$A:$D,2,FALSE)</f>
        <v>1</v>
      </c>
      <c r="H566">
        <f>VLOOKUP(A566,[2]Sheet1!$A:$D,3,FALSE)</f>
        <v>0</v>
      </c>
      <c r="I566">
        <f>VLOOKUP(A566,[2]Sheet1!$A:$D,4,FALSE)</f>
        <v>2</v>
      </c>
      <c r="J566" t="str">
        <f>VLOOKUP(A566,[3]Sheet1!$A:$C,2,FALSE)</f>
        <v>AUTO</v>
      </c>
      <c r="K566" t="str">
        <f>VLOOKUP(A566,[3]Sheet1!$A:$C,3,FALSE)</f>
        <v>ALL</v>
      </c>
    </row>
    <row r="567" spans="1:11" x14ac:dyDescent="0.25">
      <c r="A567" s="2" t="s">
        <v>570</v>
      </c>
      <c r="B567">
        <v>62</v>
      </c>
      <c r="C567" t="s">
        <v>7</v>
      </c>
      <c r="D567" t="str">
        <f>VLOOKUP(A567,[1]Sheet1!$A:$D,2,FALSE)</f>
        <v>Philips Medical Systems</v>
      </c>
      <c r="E567" t="str">
        <f>VLOOKUP(A567,[1]Sheet1!$A:$D,3,FALSE)</f>
        <v>Ingenia</v>
      </c>
      <c r="F567">
        <f>VLOOKUP(A567,[1]Sheet1!$A:$D,4,FALSE)</f>
        <v>1.5</v>
      </c>
      <c r="G567">
        <f>VLOOKUP(A567,[2]Sheet1!$A:$D,2,FALSE)</f>
        <v>-1</v>
      </c>
      <c r="H567">
        <f>VLOOKUP(A567,[2]Sheet1!$A:$D,3,FALSE)</f>
        <v>-1</v>
      </c>
      <c r="I567">
        <f>VLOOKUP(A567,[2]Sheet1!$A:$D,4,FALSE)</f>
        <v>4</v>
      </c>
      <c r="J567" t="str">
        <f>VLOOKUP(A567,[3]Sheet1!$A:$C,2,FALSE)</f>
        <v>OBS1</v>
      </c>
      <c r="K567" t="str">
        <f>VLOOKUP(A567,[3]Sheet1!$A:$C,3,FALSE)</f>
        <v>T2</v>
      </c>
    </row>
    <row r="568" spans="1:11" x14ac:dyDescent="0.25">
      <c r="A568" s="2" t="s">
        <v>571</v>
      </c>
      <c r="B568">
        <v>34</v>
      </c>
      <c r="C568" t="s">
        <v>4</v>
      </c>
      <c r="D568" t="str">
        <f>VLOOKUP(A568,[1]Sheet1!$A:$D,2,FALSE)</f>
        <v>SIEMENS</v>
      </c>
      <c r="E568" t="str">
        <f>VLOOKUP(A568,[1]Sheet1!$A:$D,3,FALSE)</f>
        <v>Aera</v>
      </c>
      <c r="F568">
        <f>VLOOKUP(A568,[1]Sheet1!$A:$D,4,FALSE)</f>
        <v>1.5</v>
      </c>
      <c r="G568">
        <f>VLOOKUP(A568,[2]Sheet1!$A:$D,2,FALSE)</f>
        <v>1</v>
      </c>
      <c r="H568">
        <f>VLOOKUP(A568,[2]Sheet1!$A:$D,3,FALSE)</f>
        <v>0</v>
      </c>
      <c r="I568">
        <f>VLOOKUP(A568,[2]Sheet1!$A:$D,4,FALSE)</f>
        <v>3</v>
      </c>
      <c r="J568" t="str">
        <f>VLOOKUP(A568,[3]Sheet1!$A:$C,2,FALSE)</f>
        <v>AUTO</v>
      </c>
      <c r="K568" t="str">
        <f>VLOOKUP(A568,[3]Sheet1!$A:$C,3,FALSE)</f>
        <v>ALL</v>
      </c>
    </row>
    <row r="569" spans="1:11" x14ac:dyDescent="0.25">
      <c r="A569" s="2" t="s">
        <v>572</v>
      </c>
      <c r="B569">
        <v>55</v>
      </c>
      <c r="C569" t="s">
        <v>4</v>
      </c>
      <c r="D569" t="str">
        <f>VLOOKUP(A569,[1]Sheet1!$A:$D,2,FALSE)</f>
        <v>GE MEDICAL SYSTEMS</v>
      </c>
      <c r="E569" t="str">
        <f>VLOOKUP(A569,[1]Sheet1!$A:$D,3,FALSE)</f>
        <v>GENESIS_SIGNA</v>
      </c>
      <c r="F569">
        <f>VLOOKUP(A569,[1]Sheet1!$A:$D,4,FALSE)</f>
        <v>1.5</v>
      </c>
      <c r="G569">
        <f>VLOOKUP(A569,[2]Sheet1!$A:$D,2,FALSE)</f>
        <v>1</v>
      </c>
      <c r="H569">
        <f>VLOOKUP(A569,[2]Sheet1!$A:$D,3,FALSE)</f>
        <v>0</v>
      </c>
      <c r="I569">
        <f>VLOOKUP(A569,[2]Sheet1!$A:$D,4,FALSE)</f>
        <v>2</v>
      </c>
      <c r="J569" t="str">
        <f>VLOOKUP(A569,[3]Sheet1!$A:$C,2,FALSE)</f>
        <v>AUTO</v>
      </c>
      <c r="K569" t="str">
        <f>VLOOKUP(A569,[3]Sheet1!$A:$C,3,FALSE)</f>
        <v>ALL</v>
      </c>
    </row>
    <row r="570" spans="1:11" x14ac:dyDescent="0.25">
      <c r="A570" s="2" t="s">
        <v>573</v>
      </c>
      <c r="B570">
        <v>74</v>
      </c>
      <c r="C570" t="s">
        <v>4</v>
      </c>
      <c r="D570" t="str">
        <f>VLOOKUP(A570,[1]Sheet1!$A:$D,2,FALSE)</f>
        <v>Philips Medical Systems</v>
      </c>
      <c r="E570" t="str">
        <f>VLOOKUP(A570,[1]Sheet1!$A:$D,3,FALSE)</f>
        <v>Intera</v>
      </c>
      <c r="F570">
        <f>VLOOKUP(A570,[1]Sheet1!$A:$D,4,FALSE)</f>
        <v>1.5</v>
      </c>
      <c r="G570">
        <f>VLOOKUP(A570,[2]Sheet1!$A:$D,2,FALSE)</f>
        <v>-1</v>
      </c>
      <c r="H570">
        <f>VLOOKUP(A570,[2]Sheet1!$A:$D,3,FALSE)</f>
        <v>-1</v>
      </c>
      <c r="I570">
        <f>VLOOKUP(A570,[2]Sheet1!$A:$D,4,FALSE)</f>
        <v>4</v>
      </c>
      <c r="J570" t="str">
        <f>VLOOKUP(A570,[3]Sheet1!$A:$C,2,FALSE)</f>
        <v>AUTO</v>
      </c>
      <c r="K570" t="str">
        <f>VLOOKUP(A570,[3]Sheet1!$A:$C,3,FALSE)</f>
        <v>ALL</v>
      </c>
    </row>
    <row r="571" spans="1:11" x14ac:dyDescent="0.25">
      <c r="A571" s="2" t="s">
        <v>574</v>
      </c>
      <c r="B571">
        <v>49</v>
      </c>
      <c r="C571" t="s">
        <v>4</v>
      </c>
      <c r="D571" t="str">
        <f>VLOOKUP(A571,[1]Sheet1!$A:$D,2,FALSE)</f>
        <v>SIEMENS</v>
      </c>
      <c r="E571" t="str">
        <f>VLOOKUP(A571,[1]Sheet1!$A:$D,3,FALSE)</f>
        <v>Espree</v>
      </c>
      <c r="F571">
        <f>VLOOKUP(A571,[1]Sheet1!$A:$D,4,FALSE)</f>
        <v>1.5</v>
      </c>
      <c r="G571">
        <f>VLOOKUP(A571,[2]Sheet1!$A:$D,2,FALSE)</f>
        <v>-1</v>
      </c>
      <c r="H571">
        <f>VLOOKUP(A571,[2]Sheet1!$A:$D,3,FALSE)</f>
        <v>-1</v>
      </c>
      <c r="I571">
        <f>VLOOKUP(A571,[2]Sheet1!$A:$D,4,FALSE)</f>
        <v>4</v>
      </c>
      <c r="J571" t="str">
        <f>VLOOKUP(A571,[3]Sheet1!$A:$C,2,FALSE)</f>
        <v>AUTO</v>
      </c>
      <c r="K571" t="str">
        <f>VLOOKUP(A571,[3]Sheet1!$A:$C,3,FALSE)</f>
        <v>ALL</v>
      </c>
    </row>
    <row r="572" spans="1:11" x14ac:dyDescent="0.25">
      <c r="A572" s="2" t="s">
        <v>575</v>
      </c>
      <c r="B572">
        <v>-1</v>
      </c>
      <c r="C572" t="s">
        <v>7</v>
      </c>
      <c r="D572" t="str">
        <f>VLOOKUP(A572,[1]Sheet1!$A:$D,2,FALSE)</f>
        <v>SIEMENS</v>
      </c>
      <c r="E572" t="str">
        <f>VLOOKUP(A572,[1]Sheet1!$A:$D,3,FALSE)</f>
        <v>Avanto</v>
      </c>
      <c r="F572">
        <f>VLOOKUP(A572,[1]Sheet1!$A:$D,4,FALSE)</f>
        <v>1.5</v>
      </c>
      <c r="G572">
        <f>VLOOKUP(A572,[2]Sheet1!$A:$D,2,FALSE)</f>
        <v>1</v>
      </c>
      <c r="H572">
        <f>VLOOKUP(A572,[2]Sheet1!$A:$D,3,FALSE)</f>
        <v>0</v>
      </c>
      <c r="I572">
        <f>VLOOKUP(A572,[2]Sheet1!$A:$D,4,FALSE)</f>
        <v>-1</v>
      </c>
      <c r="J572" t="str">
        <f>VLOOKUP(A572,[3]Sheet1!$A:$C,2,FALSE)</f>
        <v>OBS2</v>
      </c>
      <c r="K572" t="str">
        <f>VLOOKUP(A572,[3]Sheet1!$A:$C,3,FALSE)</f>
        <v>FLAIR</v>
      </c>
    </row>
    <row r="573" spans="1:11" x14ac:dyDescent="0.25">
      <c r="A573" s="2" t="s">
        <v>576</v>
      </c>
      <c r="B573">
        <v>41</v>
      </c>
      <c r="C573" t="s">
        <v>4</v>
      </c>
      <c r="D573" t="str">
        <f>VLOOKUP(A573,[1]Sheet1!$A:$D,2,FALSE)</f>
        <v>SIEMENS</v>
      </c>
      <c r="E573" t="str">
        <f>VLOOKUP(A573,[1]Sheet1!$A:$D,3,FALSE)</f>
        <v>Sonata</v>
      </c>
      <c r="F573">
        <f>VLOOKUP(A573,[1]Sheet1!$A:$D,4,FALSE)</f>
        <v>1.5</v>
      </c>
      <c r="G573">
        <f>VLOOKUP(A573,[2]Sheet1!$A:$D,2,FALSE)</f>
        <v>1</v>
      </c>
      <c r="H573">
        <f>VLOOKUP(A573,[2]Sheet1!$A:$D,3,FALSE)</f>
        <v>1</v>
      </c>
      <c r="I573">
        <f>VLOOKUP(A573,[2]Sheet1!$A:$D,4,FALSE)</f>
        <v>2</v>
      </c>
      <c r="J573" t="str">
        <f>VLOOKUP(A573,[3]Sheet1!$A:$C,2,FALSE)</f>
        <v>AUTO</v>
      </c>
      <c r="K573" t="str">
        <f>VLOOKUP(A573,[3]Sheet1!$A:$C,3,FALSE)</f>
        <v>ALL</v>
      </c>
    </row>
    <row r="574" spans="1:11" x14ac:dyDescent="0.25">
      <c r="A574" s="2" t="s">
        <v>577</v>
      </c>
      <c r="B574">
        <v>70</v>
      </c>
      <c r="C574" t="s">
        <v>4</v>
      </c>
      <c r="D574" t="str">
        <f>VLOOKUP(A574,[1]Sheet1!$A:$D,2,FALSE)</f>
        <v>SIEMENS</v>
      </c>
      <c r="E574" t="str">
        <f>VLOOKUP(A574,[1]Sheet1!$A:$D,3,FALSE)</f>
        <v>Avanto</v>
      </c>
      <c r="F574">
        <f>VLOOKUP(A574,[1]Sheet1!$A:$D,4,FALSE)</f>
        <v>1.5</v>
      </c>
      <c r="G574">
        <f>VLOOKUP(A574,[2]Sheet1!$A:$D,2,FALSE)</f>
        <v>-1</v>
      </c>
      <c r="H574">
        <f>VLOOKUP(A574,[2]Sheet1!$A:$D,3,FALSE)</f>
        <v>-1</v>
      </c>
      <c r="I574">
        <f>VLOOKUP(A574,[2]Sheet1!$A:$D,4,FALSE)</f>
        <v>4</v>
      </c>
      <c r="J574" t="str">
        <f>VLOOKUP(A574,[3]Sheet1!$A:$C,2,FALSE)</f>
        <v>AUTO</v>
      </c>
      <c r="K574" t="str">
        <f>VLOOKUP(A574,[3]Sheet1!$A:$C,3,FALSE)</f>
        <v>ALL</v>
      </c>
    </row>
    <row r="575" spans="1:11" x14ac:dyDescent="0.25">
      <c r="A575" s="2" t="s">
        <v>578</v>
      </c>
      <c r="B575">
        <v>70</v>
      </c>
      <c r="C575" t="s">
        <v>4</v>
      </c>
      <c r="D575" t="str">
        <f>VLOOKUP(A575,[1]Sheet1!$A:$D,2,FALSE)</f>
        <v>SIEMENS</v>
      </c>
      <c r="E575" t="str">
        <f>VLOOKUP(A575,[1]Sheet1!$A:$D,3,FALSE)</f>
        <v>Harmony</v>
      </c>
      <c r="F575">
        <f>VLOOKUP(A575,[1]Sheet1!$A:$D,4,FALSE)</f>
        <v>1</v>
      </c>
      <c r="G575">
        <f>VLOOKUP(A575,[2]Sheet1!$A:$D,2,FALSE)</f>
        <v>-1</v>
      </c>
      <c r="H575">
        <f>VLOOKUP(A575,[2]Sheet1!$A:$D,3,FALSE)</f>
        <v>0</v>
      </c>
      <c r="I575">
        <f>VLOOKUP(A575,[2]Sheet1!$A:$D,4,FALSE)</f>
        <v>-1</v>
      </c>
      <c r="J575" t="str">
        <f>VLOOKUP(A575,[3]Sheet1!$A:$C,2,FALSE)</f>
        <v>OBS1</v>
      </c>
      <c r="K575" t="str">
        <f>VLOOKUP(A575,[3]Sheet1!$A:$C,3,FALSE)</f>
        <v>FLAIR</v>
      </c>
    </row>
    <row r="576" spans="1:11" x14ac:dyDescent="0.25">
      <c r="A576" s="2" t="s">
        <v>579</v>
      </c>
      <c r="B576">
        <v>31</v>
      </c>
      <c r="C576" t="s">
        <v>4</v>
      </c>
      <c r="D576" t="str">
        <f>VLOOKUP(A576,[1]Sheet1!$A:$D,2,FALSE)</f>
        <v>SIEMENS</v>
      </c>
      <c r="E576" t="str">
        <f>VLOOKUP(A576,[1]Sheet1!$A:$D,3,FALSE)</f>
        <v>Symphony</v>
      </c>
      <c r="F576">
        <f>VLOOKUP(A576,[1]Sheet1!$A:$D,4,FALSE)</f>
        <v>1.5</v>
      </c>
      <c r="G576">
        <f>VLOOKUP(A576,[2]Sheet1!$A:$D,2,FALSE)</f>
        <v>0</v>
      </c>
      <c r="H576">
        <f>VLOOKUP(A576,[2]Sheet1!$A:$D,3,FALSE)</f>
        <v>0</v>
      </c>
      <c r="I576">
        <f>VLOOKUP(A576,[2]Sheet1!$A:$D,4,FALSE)</f>
        <v>-1</v>
      </c>
      <c r="J576" t="str">
        <f>VLOOKUP(A576,[3]Sheet1!$A:$C,2,FALSE)</f>
        <v>AUTO</v>
      </c>
      <c r="K576" t="str">
        <f>VLOOKUP(A576,[3]Sheet1!$A:$C,3,FALSE)</f>
        <v>ALL</v>
      </c>
    </row>
    <row r="577" spans="1:11" x14ac:dyDescent="0.25">
      <c r="A577" s="2" t="s">
        <v>580</v>
      </c>
      <c r="B577">
        <v>-1</v>
      </c>
      <c r="C577" t="s">
        <v>4</v>
      </c>
      <c r="D577" t="str">
        <f>VLOOKUP(A577,[1]Sheet1!$A:$D,2,FALSE)</f>
        <v>Philips Medical Systems</v>
      </c>
      <c r="E577" t="str">
        <f>VLOOKUP(A577,[1]Sheet1!$A:$D,3,FALSE)</f>
        <v>Intera</v>
      </c>
      <c r="F577">
        <f>VLOOKUP(A577,[1]Sheet1!$A:$D,4,FALSE)</f>
        <v>1.5</v>
      </c>
      <c r="G577">
        <f>VLOOKUP(A577,[2]Sheet1!$A:$D,2,FALSE)</f>
        <v>-1</v>
      </c>
      <c r="H577">
        <f>VLOOKUP(A577,[2]Sheet1!$A:$D,3,FALSE)</f>
        <v>-1</v>
      </c>
      <c r="I577">
        <f>VLOOKUP(A577,[2]Sheet1!$A:$D,4,FALSE)</f>
        <v>4</v>
      </c>
      <c r="J577" t="str">
        <f>VLOOKUP(A577,[3]Sheet1!$A:$C,2,FALSE)</f>
        <v>AUTO</v>
      </c>
      <c r="K577" t="str">
        <f>VLOOKUP(A577,[3]Sheet1!$A:$C,3,FALSE)</f>
        <v>ALL</v>
      </c>
    </row>
    <row r="578" spans="1:11" x14ac:dyDescent="0.25">
      <c r="A578" s="2" t="s">
        <v>581</v>
      </c>
      <c r="B578">
        <v>24</v>
      </c>
      <c r="C578" t="s">
        <v>4</v>
      </c>
      <c r="D578" t="str">
        <f>VLOOKUP(A578,[1]Sheet1!$A:$D,2,FALSE)</f>
        <v>GE MEDICAL SYSTEMS</v>
      </c>
      <c r="E578" t="str">
        <f>VLOOKUP(A578,[1]Sheet1!$A:$D,3,FALSE)</f>
        <v>SIGNA EXCITE</v>
      </c>
      <c r="F578">
        <f>VLOOKUP(A578,[1]Sheet1!$A:$D,4,FALSE)</f>
        <v>1.5</v>
      </c>
      <c r="G578">
        <f>VLOOKUP(A578,[2]Sheet1!$A:$D,2,FALSE)</f>
        <v>1</v>
      </c>
      <c r="H578">
        <f>VLOOKUP(A578,[2]Sheet1!$A:$D,3,FALSE)</f>
        <v>0</v>
      </c>
      <c r="I578">
        <f>VLOOKUP(A578,[2]Sheet1!$A:$D,4,FALSE)</f>
        <v>3</v>
      </c>
      <c r="J578" t="str">
        <f>VLOOKUP(A578,[3]Sheet1!$A:$C,2,FALSE)</f>
        <v>AUTO</v>
      </c>
      <c r="K578" t="str">
        <f>VLOOKUP(A578,[3]Sheet1!$A:$C,3,FALSE)</f>
        <v>ALL</v>
      </c>
    </row>
    <row r="579" spans="1:11" x14ac:dyDescent="0.25">
      <c r="A579" s="2" t="s">
        <v>582</v>
      </c>
      <c r="B579">
        <v>-1</v>
      </c>
      <c r="C579" t="s">
        <v>4</v>
      </c>
      <c r="D579" t="str">
        <f>VLOOKUP(A579,[1]Sheet1!$A:$D,2,FALSE)</f>
        <v>SIEMENS</v>
      </c>
      <c r="E579" t="str">
        <f>VLOOKUP(A579,[1]Sheet1!$A:$D,3,FALSE)</f>
        <v>MAGNETOM_ESSENZA</v>
      </c>
      <c r="F579">
        <f>VLOOKUP(A579,[1]Sheet1!$A:$D,4,FALSE)</f>
        <v>1.5</v>
      </c>
      <c r="G579">
        <f>VLOOKUP(A579,[2]Sheet1!$A:$D,2,FALSE)</f>
        <v>0</v>
      </c>
      <c r="H579">
        <f>VLOOKUP(A579,[2]Sheet1!$A:$D,3,FALSE)</f>
        <v>-1</v>
      </c>
      <c r="I579">
        <f>VLOOKUP(A579,[2]Sheet1!$A:$D,4,FALSE)</f>
        <v>-1</v>
      </c>
      <c r="J579" t="str">
        <f>VLOOKUP(A579,[3]Sheet1!$A:$C,2,FALSE)</f>
        <v>AUTO</v>
      </c>
      <c r="K579" t="str">
        <f>VLOOKUP(A579,[3]Sheet1!$A:$C,3,FALSE)</f>
        <v>ALL</v>
      </c>
    </row>
    <row r="580" spans="1:11" x14ac:dyDescent="0.25">
      <c r="A580" s="2" t="s">
        <v>583</v>
      </c>
      <c r="B580">
        <v>45</v>
      </c>
      <c r="C580" t="s">
        <v>4</v>
      </c>
      <c r="D580" t="str">
        <f>VLOOKUP(A580,[1]Sheet1!$A:$D,2,FALSE)</f>
        <v>SIEMENS</v>
      </c>
      <c r="E580" t="str">
        <f>VLOOKUP(A580,[1]Sheet1!$A:$D,3,FALSE)</f>
        <v>Avanto</v>
      </c>
      <c r="F580">
        <f>VLOOKUP(A580,[1]Sheet1!$A:$D,4,FALSE)</f>
        <v>1.5</v>
      </c>
      <c r="G580">
        <f>VLOOKUP(A580,[2]Sheet1!$A:$D,2,FALSE)</f>
        <v>0</v>
      </c>
      <c r="H580">
        <f>VLOOKUP(A580,[2]Sheet1!$A:$D,3,FALSE)</f>
        <v>0</v>
      </c>
      <c r="I580">
        <f>VLOOKUP(A580,[2]Sheet1!$A:$D,4,FALSE)</f>
        <v>2</v>
      </c>
      <c r="J580" t="str">
        <f>VLOOKUP(A580,[3]Sheet1!$A:$C,2,FALSE)</f>
        <v>OBS1</v>
      </c>
      <c r="K580" t="str">
        <f>VLOOKUP(A580,[3]Sheet1!$A:$C,3,FALSE)</f>
        <v>FLAIR</v>
      </c>
    </row>
    <row r="581" spans="1:11" x14ac:dyDescent="0.25">
      <c r="A581" s="2" t="s">
        <v>584</v>
      </c>
      <c r="B581">
        <v>72</v>
      </c>
      <c r="C581" t="s">
        <v>7</v>
      </c>
      <c r="D581" t="str">
        <f>VLOOKUP(A581,[1]Sheet1!$A:$D,2,FALSE)</f>
        <v>SIEMENS</v>
      </c>
      <c r="E581" t="str">
        <f>VLOOKUP(A581,[1]Sheet1!$A:$D,3,FALSE)</f>
        <v>MAGNETOM EXPERT</v>
      </c>
      <c r="F581">
        <f>VLOOKUP(A581,[1]Sheet1!$A:$D,4,FALSE)</f>
        <v>1</v>
      </c>
      <c r="G581">
        <f>VLOOKUP(A581,[2]Sheet1!$A:$D,2,FALSE)</f>
        <v>0</v>
      </c>
      <c r="H581">
        <f>VLOOKUP(A581,[2]Sheet1!$A:$D,3,FALSE)</f>
        <v>0</v>
      </c>
      <c r="I581">
        <f>VLOOKUP(A581,[2]Sheet1!$A:$D,4,FALSE)</f>
        <v>2</v>
      </c>
      <c r="J581" t="str">
        <f>VLOOKUP(A581,[3]Sheet1!$A:$C,2,FALSE)</f>
        <v>OBS3</v>
      </c>
      <c r="K581" t="str">
        <f>VLOOKUP(A581,[3]Sheet1!$A:$C,3,FALSE)</f>
        <v>T2</v>
      </c>
    </row>
    <row r="582" spans="1:11" x14ac:dyDescent="0.25">
      <c r="A582" s="2" t="s">
        <v>585</v>
      </c>
      <c r="B582">
        <v>74</v>
      </c>
      <c r="C582" t="s">
        <v>7</v>
      </c>
      <c r="D582" t="str">
        <f>VLOOKUP(A582,[1]Sheet1!$A:$D,2,FALSE)</f>
        <v>SIEMENS</v>
      </c>
      <c r="E582" t="str">
        <f>VLOOKUP(A582,[1]Sheet1!$A:$D,3,FALSE)</f>
        <v>Symphony</v>
      </c>
      <c r="F582">
        <f>VLOOKUP(A582,[1]Sheet1!$A:$D,4,FALSE)</f>
        <v>1.5</v>
      </c>
      <c r="G582">
        <f>VLOOKUP(A582,[2]Sheet1!$A:$D,2,FALSE)</f>
        <v>0</v>
      </c>
      <c r="H582">
        <f>VLOOKUP(A582,[2]Sheet1!$A:$D,3,FALSE)</f>
        <v>-1</v>
      </c>
      <c r="I582">
        <f>VLOOKUP(A582,[2]Sheet1!$A:$D,4,FALSE)</f>
        <v>4</v>
      </c>
      <c r="J582" t="str">
        <f>VLOOKUP(A582,[3]Sheet1!$A:$C,2,FALSE)</f>
        <v>OBS1</v>
      </c>
      <c r="K582" t="str">
        <f>VLOOKUP(A582,[3]Sheet1!$A:$C,3,FALSE)</f>
        <v>T2</v>
      </c>
    </row>
    <row r="583" spans="1:11" x14ac:dyDescent="0.25">
      <c r="A583" s="2" t="s">
        <v>586</v>
      </c>
      <c r="B583">
        <v>49</v>
      </c>
      <c r="C583" t="s">
        <v>7</v>
      </c>
      <c r="D583" t="str">
        <f>VLOOKUP(A583,[1]Sheet1!$A:$D,2,FALSE)</f>
        <v>GE MEDICAL SYSTEMS</v>
      </c>
      <c r="E583" t="str">
        <f>VLOOKUP(A583,[1]Sheet1!$A:$D,3,FALSE)</f>
        <v>Signa HDxt</v>
      </c>
      <c r="F583">
        <f>VLOOKUP(A583,[1]Sheet1!$A:$D,4,FALSE)</f>
        <v>1.5</v>
      </c>
      <c r="G583">
        <f>VLOOKUP(A583,[2]Sheet1!$A:$D,2,FALSE)</f>
        <v>-1</v>
      </c>
      <c r="H583">
        <f>VLOOKUP(A583,[2]Sheet1!$A:$D,3,FALSE)</f>
        <v>-1</v>
      </c>
      <c r="I583">
        <f>VLOOKUP(A583,[2]Sheet1!$A:$D,4,FALSE)</f>
        <v>4</v>
      </c>
      <c r="J583" t="str">
        <f>VLOOKUP(A583,[3]Sheet1!$A:$C,2,FALSE)</f>
        <v>AUTO</v>
      </c>
      <c r="K583" t="str">
        <f>VLOOKUP(A583,[3]Sheet1!$A:$C,3,FALSE)</f>
        <v>ALL</v>
      </c>
    </row>
    <row r="584" spans="1:11" x14ac:dyDescent="0.25">
      <c r="A584" s="2" t="s">
        <v>587</v>
      </c>
      <c r="B584">
        <v>-1</v>
      </c>
      <c r="C584" t="s">
        <v>4</v>
      </c>
      <c r="D584" t="str">
        <f>VLOOKUP(A584,[1]Sheet1!$A:$D,2,FALSE)</f>
        <v>SIEMENS</v>
      </c>
      <c r="E584" t="str">
        <f>VLOOKUP(A584,[1]Sheet1!$A:$D,3,FALSE)</f>
        <v>Aera</v>
      </c>
      <c r="F584">
        <f>VLOOKUP(A584,[1]Sheet1!$A:$D,4,FALSE)</f>
        <v>1.5</v>
      </c>
      <c r="G584">
        <f>VLOOKUP(A584,[2]Sheet1!$A:$D,2,FALSE)</f>
        <v>-1</v>
      </c>
      <c r="H584">
        <f>VLOOKUP(A584,[2]Sheet1!$A:$D,3,FALSE)</f>
        <v>-1</v>
      </c>
      <c r="I584">
        <f>VLOOKUP(A584,[2]Sheet1!$A:$D,4,FALSE)</f>
        <v>4</v>
      </c>
      <c r="J584" t="str">
        <f>VLOOKUP(A584,[3]Sheet1!$A:$C,2,FALSE)</f>
        <v>AUTO</v>
      </c>
      <c r="K584" t="str">
        <f>VLOOKUP(A584,[3]Sheet1!$A:$C,3,FALSE)</f>
        <v>ALL</v>
      </c>
    </row>
    <row r="585" spans="1:11" x14ac:dyDescent="0.25">
      <c r="A585" s="2" t="s">
        <v>588</v>
      </c>
      <c r="B585">
        <v>67</v>
      </c>
      <c r="C585" t="s">
        <v>7</v>
      </c>
      <c r="D585" t="str">
        <f>VLOOKUP(A585,[1]Sheet1!$A:$D,2,FALSE)</f>
        <v>SIEMENS</v>
      </c>
      <c r="E585" t="str">
        <f>VLOOKUP(A585,[1]Sheet1!$A:$D,3,FALSE)</f>
        <v>Avanto</v>
      </c>
      <c r="F585">
        <f>VLOOKUP(A585,[1]Sheet1!$A:$D,4,FALSE)</f>
        <v>1.5</v>
      </c>
      <c r="G585">
        <f>VLOOKUP(A585,[2]Sheet1!$A:$D,2,FALSE)</f>
        <v>-1</v>
      </c>
      <c r="H585">
        <f>VLOOKUP(A585,[2]Sheet1!$A:$D,3,FALSE)</f>
        <v>-1</v>
      </c>
      <c r="I585">
        <f>VLOOKUP(A585,[2]Sheet1!$A:$D,4,FALSE)</f>
        <v>4</v>
      </c>
      <c r="J585" t="str">
        <f>VLOOKUP(A585,[3]Sheet1!$A:$C,2,FALSE)</f>
        <v>AUTO</v>
      </c>
      <c r="K585" t="str">
        <f>VLOOKUP(A585,[3]Sheet1!$A:$C,3,FALSE)</f>
        <v>ALL</v>
      </c>
    </row>
    <row r="586" spans="1:11" x14ac:dyDescent="0.25">
      <c r="A586" s="2" t="s">
        <v>589</v>
      </c>
      <c r="B586">
        <v>23</v>
      </c>
      <c r="C586" t="s">
        <v>4</v>
      </c>
      <c r="D586" t="str">
        <f>VLOOKUP(A586,[1]Sheet1!$A:$D,2,FALSE)</f>
        <v>SIEMENS</v>
      </c>
      <c r="E586" t="str">
        <f>VLOOKUP(A586,[1]Sheet1!$A:$D,3,FALSE)</f>
        <v>MAGNETOM_ESSENZA</v>
      </c>
      <c r="F586">
        <f>VLOOKUP(A586,[1]Sheet1!$A:$D,4,FALSE)</f>
        <v>1.5</v>
      </c>
      <c r="G586">
        <f>VLOOKUP(A586,[2]Sheet1!$A:$D,2,FALSE)</f>
        <v>1</v>
      </c>
      <c r="H586">
        <f>VLOOKUP(A586,[2]Sheet1!$A:$D,3,FALSE)</f>
        <v>0</v>
      </c>
      <c r="I586">
        <f>VLOOKUP(A586,[2]Sheet1!$A:$D,4,FALSE)</f>
        <v>2</v>
      </c>
      <c r="J586" t="str">
        <f>VLOOKUP(A586,[3]Sheet1!$A:$C,2,FALSE)</f>
        <v>OBS4</v>
      </c>
      <c r="K586" t="str">
        <f>VLOOKUP(A586,[3]Sheet1!$A:$C,3,FALSE)</f>
        <v>T2</v>
      </c>
    </row>
    <row r="587" spans="1:11" x14ac:dyDescent="0.25">
      <c r="A587" s="2" t="s">
        <v>590</v>
      </c>
      <c r="B587">
        <v>32</v>
      </c>
      <c r="C587" t="s">
        <v>4</v>
      </c>
      <c r="D587" t="str">
        <f>VLOOKUP(A587,[1]Sheet1!$A:$D,2,FALSE)</f>
        <v>SIEMENS</v>
      </c>
      <c r="E587" t="str">
        <f>VLOOKUP(A587,[1]Sheet1!$A:$D,3,FALSE)</f>
        <v>Harmony</v>
      </c>
      <c r="F587">
        <f>VLOOKUP(A587,[1]Sheet1!$A:$D,4,FALSE)</f>
        <v>1</v>
      </c>
      <c r="G587">
        <f>VLOOKUP(A587,[2]Sheet1!$A:$D,2,FALSE)</f>
        <v>1</v>
      </c>
      <c r="H587">
        <f>VLOOKUP(A587,[2]Sheet1!$A:$D,3,FALSE)</f>
        <v>0</v>
      </c>
      <c r="I587">
        <f>VLOOKUP(A587,[2]Sheet1!$A:$D,4,FALSE)</f>
        <v>2</v>
      </c>
      <c r="J587" t="str">
        <f>VLOOKUP(A587,[3]Sheet1!$A:$C,2,FALSE)</f>
        <v>OBS2</v>
      </c>
      <c r="K587" t="str">
        <f>VLOOKUP(A587,[3]Sheet1!$A:$C,3,FALSE)</f>
        <v>FLAIR</v>
      </c>
    </row>
    <row r="588" spans="1:11" x14ac:dyDescent="0.25">
      <c r="A588" s="2" t="s">
        <v>591</v>
      </c>
      <c r="B588">
        <v>65</v>
      </c>
      <c r="C588" t="s">
        <v>7</v>
      </c>
      <c r="D588" t="str">
        <f>VLOOKUP(A588,[1]Sheet1!$A:$D,2,FALSE)</f>
        <v>SIEMENS</v>
      </c>
      <c r="E588" t="str">
        <f>VLOOKUP(A588,[1]Sheet1!$A:$D,3,FALSE)</f>
        <v>Harmony</v>
      </c>
      <c r="F588">
        <f>VLOOKUP(A588,[1]Sheet1!$A:$D,4,FALSE)</f>
        <v>1</v>
      </c>
      <c r="G588">
        <f>VLOOKUP(A588,[2]Sheet1!$A:$D,2,FALSE)</f>
        <v>0</v>
      </c>
      <c r="H588">
        <f>VLOOKUP(A588,[2]Sheet1!$A:$D,3,FALSE)</f>
        <v>-1</v>
      </c>
      <c r="I588">
        <f>VLOOKUP(A588,[2]Sheet1!$A:$D,4,FALSE)</f>
        <v>4</v>
      </c>
      <c r="J588" t="str">
        <f>VLOOKUP(A588,[3]Sheet1!$A:$C,2,FALSE)</f>
        <v>OBS1</v>
      </c>
      <c r="K588" t="str">
        <f>VLOOKUP(A588,[3]Sheet1!$A:$C,3,FALSE)</f>
        <v>T2</v>
      </c>
    </row>
    <row r="589" spans="1:11" x14ac:dyDescent="0.25">
      <c r="A589" s="2" t="s">
        <v>592</v>
      </c>
      <c r="B589">
        <v>73</v>
      </c>
      <c r="C589" t="s">
        <v>7</v>
      </c>
      <c r="D589" t="str">
        <f>VLOOKUP(A589,[1]Sheet1!$A:$D,2,FALSE)</f>
        <v>SIEMENS</v>
      </c>
      <c r="E589" t="str">
        <f>VLOOKUP(A589,[1]Sheet1!$A:$D,3,FALSE)</f>
        <v>MAGNETOM_ESSENZA</v>
      </c>
      <c r="F589">
        <f>VLOOKUP(A589,[1]Sheet1!$A:$D,4,FALSE)</f>
        <v>1.5</v>
      </c>
      <c r="G589">
        <f>VLOOKUP(A589,[2]Sheet1!$A:$D,2,FALSE)</f>
        <v>-1</v>
      </c>
      <c r="H589">
        <f>VLOOKUP(A589,[2]Sheet1!$A:$D,3,FALSE)</f>
        <v>-1</v>
      </c>
      <c r="I589">
        <f>VLOOKUP(A589,[2]Sheet1!$A:$D,4,FALSE)</f>
        <v>4</v>
      </c>
      <c r="J589" t="str">
        <f>VLOOKUP(A589,[3]Sheet1!$A:$C,2,FALSE)</f>
        <v>AUTO</v>
      </c>
      <c r="K589" t="str">
        <f>VLOOKUP(A589,[3]Sheet1!$A:$C,3,FALSE)</f>
        <v>ALL</v>
      </c>
    </row>
    <row r="590" spans="1:11" x14ac:dyDescent="0.25">
      <c r="A590" s="2" t="s">
        <v>593</v>
      </c>
      <c r="B590">
        <v>43</v>
      </c>
      <c r="C590" t="s">
        <v>4</v>
      </c>
      <c r="D590" t="str">
        <f>VLOOKUP(A590,[1]Sheet1!$A:$D,2,FALSE)</f>
        <v>SIEMENS</v>
      </c>
      <c r="E590" t="str">
        <f>VLOOKUP(A590,[1]Sheet1!$A:$D,3,FALSE)</f>
        <v>Aera</v>
      </c>
      <c r="F590">
        <f>VLOOKUP(A590,[1]Sheet1!$A:$D,4,FALSE)</f>
        <v>1.5</v>
      </c>
      <c r="G590">
        <f>VLOOKUP(A590,[2]Sheet1!$A:$D,2,FALSE)</f>
        <v>0</v>
      </c>
      <c r="H590">
        <f>VLOOKUP(A590,[2]Sheet1!$A:$D,3,FALSE)</f>
        <v>-1</v>
      </c>
      <c r="I590">
        <f>VLOOKUP(A590,[2]Sheet1!$A:$D,4,FALSE)</f>
        <v>4</v>
      </c>
      <c r="J590" t="str">
        <f>VLOOKUP(A590,[3]Sheet1!$A:$C,2,FALSE)</f>
        <v>OBS1</v>
      </c>
      <c r="K590" t="str">
        <f>VLOOKUP(A590,[3]Sheet1!$A:$C,3,FALSE)</f>
        <v>T2</v>
      </c>
    </row>
    <row r="591" spans="1:11" x14ac:dyDescent="0.25">
      <c r="A591" s="2" t="s">
        <v>594</v>
      </c>
      <c r="B591">
        <v>52</v>
      </c>
      <c r="C591" t="s">
        <v>7</v>
      </c>
      <c r="D591" t="str">
        <f>VLOOKUP(A591,[1]Sheet1!$A:$D,2,FALSE)</f>
        <v>SIEMENS</v>
      </c>
      <c r="E591" t="str">
        <f>VLOOKUP(A591,[1]Sheet1!$A:$D,3,FALSE)</f>
        <v>Harmony</v>
      </c>
      <c r="F591">
        <f>VLOOKUP(A591,[1]Sheet1!$A:$D,4,FALSE)</f>
        <v>1</v>
      </c>
      <c r="G591">
        <f>VLOOKUP(A591,[2]Sheet1!$A:$D,2,FALSE)</f>
        <v>-1</v>
      </c>
      <c r="H591">
        <f>VLOOKUP(A591,[2]Sheet1!$A:$D,3,FALSE)</f>
        <v>-1</v>
      </c>
      <c r="I591">
        <f>VLOOKUP(A591,[2]Sheet1!$A:$D,4,FALSE)</f>
        <v>4</v>
      </c>
      <c r="J591" t="str">
        <f>VLOOKUP(A591,[3]Sheet1!$A:$C,2,FALSE)</f>
        <v>OBS1</v>
      </c>
      <c r="K591" t="str">
        <f>VLOOKUP(A591,[3]Sheet1!$A:$C,3,FALSE)</f>
        <v>FLAIR</v>
      </c>
    </row>
    <row r="592" spans="1:11" x14ac:dyDescent="0.25">
      <c r="A592" s="2" t="s">
        <v>595</v>
      </c>
      <c r="B592">
        <v>54</v>
      </c>
      <c r="C592" t="s">
        <v>7</v>
      </c>
      <c r="D592" t="str">
        <f>VLOOKUP(A592,[1]Sheet1!$A:$D,2,FALSE)</f>
        <v>SIEMENS</v>
      </c>
      <c r="E592" t="str">
        <f>VLOOKUP(A592,[1]Sheet1!$A:$D,3,FALSE)</f>
        <v>Aera</v>
      </c>
      <c r="F592">
        <f>VLOOKUP(A592,[1]Sheet1!$A:$D,4,FALSE)</f>
        <v>1.5</v>
      </c>
      <c r="G592">
        <f>VLOOKUP(A592,[2]Sheet1!$A:$D,2,FALSE)</f>
        <v>0</v>
      </c>
      <c r="H592">
        <f>VLOOKUP(A592,[2]Sheet1!$A:$D,3,FALSE)</f>
        <v>-1</v>
      </c>
      <c r="I592">
        <f>VLOOKUP(A592,[2]Sheet1!$A:$D,4,FALSE)</f>
        <v>4</v>
      </c>
      <c r="J592" t="str">
        <f>VLOOKUP(A592,[3]Sheet1!$A:$C,2,FALSE)</f>
        <v>OBS1</v>
      </c>
      <c r="K592" t="str">
        <f>VLOOKUP(A592,[3]Sheet1!$A:$C,3,FALSE)</f>
        <v>T2</v>
      </c>
    </row>
    <row r="593" spans="1:11" x14ac:dyDescent="0.25">
      <c r="A593" s="2" t="s">
        <v>596</v>
      </c>
      <c r="B593">
        <v>68</v>
      </c>
      <c r="C593" t="s">
        <v>4</v>
      </c>
      <c r="D593" t="str">
        <f>VLOOKUP(A593,[1]Sheet1!$A:$D,2,FALSE)</f>
        <v>SIEMENS</v>
      </c>
      <c r="E593" t="str">
        <f>VLOOKUP(A593,[1]Sheet1!$A:$D,3,FALSE)</f>
        <v>Harmony</v>
      </c>
      <c r="F593">
        <f>VLOOKUP(A593,[1]Sheet1!$A:$D,4,FALSE)</f>
        <v>1</v>
      </c>
      <c r="G593">
        <f>VLOOKUP(A593,[2]Sheet1!$A:$D,2,FALSE)</f>
        <v>0</v>
      </c>
      <c r="H593">
        <f>VLOOKUP(A593,[2]Sheet1!$A:$D,3,FALSE)</f>
        <v>0</v>
      </c>
      <c r="I593">
        <f>VLOOKUP(A593,[2]Sheet1!$A:$D,4,FALSE)</f>
        <v>2</v>
      </c>
      <c r="J593" t="str">
        <f>VLOOKUP(A593,[3]Sheet1!$A:$C,2,FALSE)</f>
        <v>AUTO</v>
      </c>
      <c r="K593" t="str">
        <f>VLOOKUP(A593,[3]Sheet1!$A:$C,3,FALSE)</f>
        <v>ALL</v>
      </c>
    </row>
    <row r="594" spans="1:11" x14ac:dyDescent="0.25">
      <c r="A594" s="2" t="s">
        <v>597</v>
      </c>
      <c r="B594">
        <v>59</v>
      </c>
      <c r="C594" t="s">
        <v>7</v>
      </c>
      <c r="D594" t="str">
        <f>VLOOKUP(A594,[1]Sheet1!$A:$D,2,FALSE)</f>
        <v>SIEMENS</v>
      </c>
      <c r="E594" t="str">
        <f>VLOOKUP(A594,[1]Sheet1!$A:$D,3,FALSE)</f>
        <v>Aera</v>
      </c>
      <c r="F594">
        <f>VLOOKUP(A594,[1]Sheet1!$A:$D,4,FALSE)</f>
        <v>1.5</v>
      </c>
      <c r="G594">
        <f>VLOOKUP(A594,[2]Sheet1!$A:$D,2,FALSE)</f>
        <v>0</v>
      </c>
      <c r="H594">
        <f>VLOOKUP(A594,[2]Sheet1!$A:$D,3,FALSE)</f>
        <v>-1</v>
      </c>
      <c r="I594">
        <f>VLOOKUP(A594,[2]Sheet1!$A:$D,4,FALSE)</f>
        <v>4</v>
      </c>
      <c r="J594" t="str">
        <f>VLOOKUP(A594,[3]Sheet1!$A:$C,2,FALSE)</f>
        <v>OBS1</v>
      </c>
      <c r="K594" t="str">
        <f>VLOOKUP(A594,[3]Sheet1!$A:$C,3,FALSE)</f>
        <v>T2</v>
      </c>
    </row>
    <row r="595" spans="1:11" x14ac:dyDescent="0.25">
      <c r="A595" s="2" t="s">
        <v>598</v>
      </c>
      <c r="B595">
        <v>74</v>
      </c>
      <c r="C595" t="s">
        <v>4</v>
      </c>
      <c r="D595" t="str">
        <f>VLOOKUP(A595,[1]Sheet1!$A:$D,2,FALSE)</f>
        <v>GE MEDICAL SYSTEMS</v>
      </c>
      <c r="E595" t="str">
        <f>VLOOKUP(A595,[1]Sheet1!$A:$D,3,FALSE)</f>
        <v>DISCOVERY MR750</v>
      </c>
      <c r="F595">
        <f>VLOOKUP(A595,[1]Sheet1!$A:$D,4,FALSE)</f>
        <v>3</v>
      </c>
      <c r="G595">
        <f>VLOOKUP(A595,[2]Sheet1!$A:$D,2,FALSE)</f>
        <v>0</v>
      </c>
      <c r="H595">
        <f>VLOOKUP(A595,[2]Sheet1!$A:$D,3,FALSE)</f>
        <v>-1</v>
      </c>
      <c r="I595">
        <f>VLOOKUP(A595,[2]Sheet1!$A:$D,4,FALSE)</f>
        <v>4</v>
      </c>
      <c r="J595" t="str">
        <f>VLOOKUP(A595,[3]Sheet1!$A:$C,2,FALSE)</f>
        <v>OBS1</v>
      </c>
      <c r="K595" t="str">
        <f>VLOOKUP(A595,[3]Sheet1!$A:$C,3,FALSE)</f>
        <v>T2</v>
      </c>
    </row>
    <row r="596" spans="1:11" x14ac:dyDescent="0.25">
      <c r="A596" s="2" t="s">
        <v>599</v>
      </c>
      <c r="B596">
        <v>49</v>
      </c>
      <c r="C596" t="s">
        <v>4</v>
      </c>
      <c r="D596" t="str">
        <f>VLOOKUP(A596,[1]Sheet1!$A:$D,2,FALSE)</f>
        <v>SIEMENS</v>
      </c>
      <c r="E596" t="str">
        <f>VLOOKUP(A596,[1]Sheet1!$A:$D,3,FALSE)</f>
        <v>Aera</v>
      </c>
      <c r="F596">
        <f>VLOOKUP(A596,[1]Sheet1!$A:$D,4,FALSE)</f>
        <v>1.5</v>
      </c>
      <c r="G596">
        <f>VLOOKUP(A596,[2]Sheet1!$A:$D,2,FALSE)</f>
        <v>0</v>
      </c>
      <c r="H596">
        <f>VLOOKUP(A596,[2]Sheet1!$A:$D,3,FALSE)</f>
        <v>0</v>
      </c>
      <c r="I596">
        <f>VLOOKUP(A596,[2]Sheet1!$A:$D,4,FALSE)</f>
        <v>4</v>
      </c>
      <c r="J596" t="str">
        <f>VLOOKUP(A596,[3]Sheet1!$A:$C,2,FALSE)</f>
        <v>OBS1</v>
      </c>
      <c r="K596" t="str">
        <f>VLOOKUP(A596,[3]Sheet1!$A:$C,3,FALSE)</f>
        <v>T2</v>
      </c>
    </row>
    <row r="597" spans="1:11" x14ac:dyDescent="0.25">
      <c r="A597" s="2" t="s">
        <v>600</v>
      </c>
      <c r="B597">
        <v>41</v>
      </c>
      <c r="C597" t="s">
        <v>7</v>
      </c>
      <c r="D597" t="str">
        <f>VLOOKUP(A597,[1]Sheet1!$A:$D,2,FALSE)</f>
        <v>Philips Medical Systems</v>
      </c>
      <c r="E597" t="str">
        <f>VLOOKUP(A597,[1]Sheet1!$A:$D,3,FALSE)</f>
        <v>Achieva</v>
      </c>
      <c r="F597">
        <f>VLOOKUP(A597,[1]Sheet1!$A:$D,4,FALSE)</f>
        <v>1.5</v>
      </c>
      <c r="G597">
        <f>VLOOKUP(A597,[2]Sheet1!$A:$D,2,FALSE)</f>
        <v>0</v>
      </c>
      <c r="H597">
        <f>VLOOKUP(A597,[2]Sheet1!$A:$D,3,FALSE)</f>
        <v>-1</v>
      </c>
      <c r="I597">
        <f>VLOOKUP(A597,[2]Sheet1!$A:$D,4,FALSE)</f>
        <v>4</v>
      </c>
      <c r="J597" t="str">
        <f>VLOOKUP(A597,[3]Sheet1!$A:$C,2,FALSE)</f>
        <v>OBS1</v>
      </c>
      <c r="K597" t="str">
        <f>VLOOKUP(A597,[3]Sheet1!$A:$C,3,FALSE)</f>
        <v>T2</v>
      </c>
    </row>
    <row r="598" spans="1:11" x14ac:dyDescent="0.25">
      <c r="A598" s="2" t="s">
        <v>601</v>
      </c>
      <c r="B598">
        <v>49</v>
      </c>
      <c r="C598" t="s">
        <v>7</v>
      </c>
      <c r="D598" t="str">
        <f>VLOOKUP(A598,[1]Sheet1!$A:$D,2,FALSE)</f>
        <v>Philips Medical Systems</v>
      </c>
      <c r="E598" t="str">
        <f>VLOOKUP(A598,[1]Sheet1!$A:$D,3,FALSE)</f>
        <v>Intera</v>
      </c>
      <c r="F598">
        <f>VLOOKUP(A598,[1]Sheet1!$A:$D,4,FALSE)</f>
        <v>1.5</v>
      </c>
      <c r="G598">
        <f>VLOOKUP(A598,[2]Sheet1!$A:$D,2,FALSE)</f>
        <v>-1</v>
      </c>
      <c r="H598">
        <f>VLOOKUP(A598,[2]Sheet1!$A:$D,3,FALSE)</f>
        <v>-1</v>
      </c>
      <c r="I598">
        <f>VLOOKUP(A598,[2]Sheet1!$A:$D,4,FALSE)</f>
        <v>4</v>
      </c>
      <c r="J598" t="str">
        <f>VLOOKUP(A598,[3]Sheet1!$A:$C,2,FALSE)</f>
        <v>AUTO</v>
      </c>
      <c r="K598" t="str">
        <f>VLOOKUP(A598,[3]Sheet1!$A:$C,3,FALSE)</f>
        <v>ALL</v>
      </c>
    </row>
    <row r="599" spans="1:11" x14ac:dyDescent="0.25">
      <c r="A599" s="2" t="s">
        <v>602</v>
      </c>
      <c r="B599">
        <v>44</v>
      </c>
      <c r="C599" t="s">
        <v>7</v>
      </c>
      <c r="D599" t="str">
        <f>VLOOKUP(A599,[1]Sheet1!$A:$D,2,FALSE)</f>
        <v>SIEMENS</v>
      </c>
      <c r="E599" t="str">
        <f>VLOOKUP(A599,[1]Sheet1!$A:$D,3,FALSE)</f>
        <v>Avanto</v>
      </c>
      <c r="F599">
        <f>VLOOKUP(A599,[1]Sheet1!$A:$D,4,FALSE)</f>
        <v>1.5</v>
      </c>
      <c r="G599">
        <f>VLOOKUP(A599,[2]Sheet1!$A:$D,2,FALSE)</f>
        <v>1</v>
      </c>
      <c r="H599">
        <f>VLOOKUP(A599,[2]Sheet1!$A:$D,3,FALSE)</f>
        <v>1</v>
      </c>
      <c r="I599">
        <f>VLOOKUP(A599,[2]Sheet1!$A:$D,4,FALSE)</f>
        <v>-1</v>
      </c>
      <c r="J599" t="str">
        <f>VLOOKUP(A599,[3]Sheet1!$A:$C,2,FALSE)</f>
        <v>OBS2</v>
      </c>
      <c r="K599" t="str">
        <f>VLOOKUP(A599,[3]Sheet1!$A:$C,3,FALSE)</f>
        <v>FLAIR</v>
      </c>
    </row>
    <row r="600" spans="1:11" x14ac:dyDescent="0.25">
      <c r="A600" s="2" t="s">
        <v>603</v>
      </c>
      <c r="B600">
        <v>64</v>
      </c>
      <c r="C600" t="s">
        <v>4</v>
      </c>
      <c r="D600" t="str">
        <f>VLOOKUP(A600,[1]Sheet1!$A:$D,2,FALSE)</f>
        <v>SIEMENS</v>
      </c>
      <c r="E600" t="str">
        <f>VLOOKUP(A600,[1]Sheet1!$A:$D,3,FALSE)</f>
        <v>MAGNETOM_ESSENZA</v>
      </c>
      <c r="F600">
        <f>VLOOKUP(A600,[1]Sheet1!$A:$D,4,FALSE)</f>
        <v>1.5</v>
      </c>
      <c r="G600">
        <f>VLOOKUP(A600,[2]Sheet1!$A:$D,2,FALSE)</f>
        <v>0</v>
      </c>
      <c r="H600">
        <f>VLOOKUP(A600,[2]Sheet1!$A:$D,3,FALSE)</f>
        <v>-1</v>
      </c>
      <c r="I600">
        <f>VLOOKUP(A600,[2]Sheet1!$A:$D,4,FALSE)</f>
        <v>4</v>
      </c>
      <c r="J600" t="str">
        <f>VLOOKUP(A600,[3]Sheet1!$A:$C,2,FALSE)</f>
        <v>AUTO</v>
      </c>
      <c r="K600" t="str">
        <f>VLOOKUP(A600,[3]Sheet1!$A:$C,3,FALSE)</f>
        <v>ALL</v>
      </c>
    </row>
    <row r="601" spans="1:11" x14ac:dyDescent="0.25">
      <c r="A601" s="2" t="s">
        <v>604</v>
      </c>
      <c r="B601">
        <v>60</v>
      </c>
      <c r="C601" t="s">
        <v>4</v>
      </c>
      <c r="D601" t="str">
        <f>VLOOKUP(A601,[1]Sheet1!$A:$D,2,FALSE)</f>
        <v>GE MEDICAL SYSTEMS</v>
      </c>
      <c r="E601" t="str">
        <f>VLOOKUP(A601,[1]Sheet1!$A:$D,3,FALSE)</f>
        <v>DISCOVERY MR450</v>
      </c>
      <c r="F601">
        <f>VLOOKUP(A601,[1]Sheet1!$A:$D,4,FALSE)</f>
        <v>1.5</v>
      </c>
      <c r="G601">
        <f>VLOOKUP(A601,[2]Sheet1!$A:$D,2,FALSE)</f>
        <v>0</v>
      </c>
      <c r="H601">
        <f>VLOOKUP(A601,[2]Sheet1!$A:$D,3,FALSE)</f>
        <v>0</v>
      </c>
      <c r="I601">
        <f>VLOOKUP(A601,[2]Sheet1!$A:$D,4,FALSE)</f>
        <v>4</v>
      </c>
      <c r="J601" t="str">
        <f>VLOOKUP(A601,[3]Sheet1!$A:$C,2,FALSE)</f>
        <v>OBS1</v>
      </c>
      <c r="K601" t="str">
        <f>VLOOKUP(A601,[3]Sheet1!$A:$C,3,FALSE)</f>
        <v>T2</v>
      </c>
    </row>
    <row r="602" spans="1:11" x14ac:dyDescent="0.25">
      <c r="A602" s="2" t="s">
        <v>605</v>
      </c>
      <c r="B602">
        <v>41</v>
      </c>
      <c r="C602" t="s">
        <v>4</v>
      </c>
      <c r="D602" t="str">
        <f>VLOOKUP(A602,[1]Sheet1!$A:$D,2,FALSE)</f>
        <v>GE MEDICAL SYSTEMS</v>
      </c>
      <c r="E602" t="str">
        <f>VLOOKUP(A602,[1]Sheet1!$A:$D,3,FALSE)</f>
        <v>DISCOVERY MR450</v>
      </c>
      <c r="F602">
        <f>VLOOKUP(A602,[1]Sheet1!$A:$D,4,FALSE)</f>
        <v>1.5</v>
      </c>
      <c r="G602">
        <f>VLOOKUP(A602,[2]Sheet1!$A:$D,2,FALSE)</f>
        <v>1</v>
      </c>
      <c r="H602">
        <f>VLOOKUP(A602,[2]Sheet1!$A:$D,3,FALSE)</f>
        <v>1</v>
      </c>
      <c r="I602">
        <f>VLOOKUP(A602,[2]Sheet1!$A:$D,4,FALSE)</f>
        <v>2</v>
      </c>
      <c r="J602" t="str">
        <f>VLOOKUP(A602,[3]Sheet1!$A:$C,2,FALSE)</f>
        <v>OBS1</v>
      </c>
      <c r="K602" t="str">
        <f>VLOOKUP(A602,[3]Sheet1!$A:$C,3,FALSE)</f>
        <v>FLAIR</v>
      </c>
    </row>
    <row r="603" spans="1:11" x14ac:dyDescent="0.25">
      <c r="A603" s="2" t="s">
        <v>606</v>
      </c>
      <c r="B603">
        <v>71</v>
      </c>
      <c r="C603" t="s">
        <v>7</v>
      </c>
      <c r="D603" t="str">
        <f>VLOOKUP(A603,[1]Sheet1!$A:$D,2,FALSE)</f>
        <v>Philips Medical Systems</v>
      </c>
      <c r="E603" t="str">
        <f>VLOOKUP(A603,[1]Sheet1!$A:$D,3,FALSE)</f>
        <v>Achieva</v>
      </c>
      <c r="F603">
        <f>VLOOKUP(A603,[1]Sheet1!$A:$D,4,FALSE)</f>
        <v>1.5</v>
      </c>
      <c r="G603">
        <f>VLOOKUP(A603,[2]Sheet1!$A:$D,2,FALSE)</f>
        <v>0</v>
      </c>
      <c r="H603">
        <f>VLOOKUP(A603,[2]Sheet1!$A:$D,3,FALSE)</f>
        <v>-1</v>
      </c>
      <c r="I603">
        <f>VLOOKUP(A603,[2]Sheet1!$A:$D,4,FALSE)</f>
        <v>4</v>
      </c>
      <c r="J603" t="str">
        <f>VLOOKUP(A603,[3]Sheet1!$A:$C,2,FALSE)</f>
        <v>AUTO</v>
      </c>
      <c r="K603" t="str">
        <f>VLOOKUP(A603,[3]Sheet1!$A:$C,3,FALSE)</f>
        <v>ALL</v>
      </c>
    </row>
    <row r="604" spans="1:11" x14ac:dyDescent="0.25">
      <c r="A604" s="2" t="s">
        <v>607</v>
      </c>
      <c r="B604">
        <v>73</v>
      </c>
      <c r="C604" t="s">
        <v>4</v>
      </c>
      <c r="D604" t="str">
        <f>VLOOKUP(A604,[1]Sheet1!$A:$D,2,FALSE)</f>
        <v>SIEMENS</v>
      </c>
      <c r="E604" t="str">
        <f>VLOOKUP(A604,[1]Sheet1!$A:$D,3,FALSE)</f>
        <v>Aera</v>
      </c>
      <c r="F604">
        <f>VLOOKUP(A604,[1]Sheet1!$A:$D,4,FALSE)</f>
        <v>1.5</v>
      </c>
      <c r="G604">
        <f>VLOOKUP(A604,[2]Sheet1!$A:$D,2,FALSE)</f>
        <v>0</v>
      </c>
      <c r="H604">
        <f>VLOOKUP(A604,[2]Sheet1!$A:$D,3,FALSE)</f>
        <v>-1</v>
      </c>
      <c r="I604">
        <f>VLOOKUP(A604,[2]Sheet1!$A:$D,4,FALSE)</f>
        <v>4</v>
      </c>
      <c r="J604" t="str">
        <f>VLOOKUP(A604,[3]Sheet1!$A:$C,2,FALSE)</f>
        <v>OBS1</v>
      </c>
      <c r="K604" t="str">
        <f>VLOOKUP(A604,[3]Sheet1!$A:$C,3,FALSE)</f>
        <v>T2</v>
      </c>
    </row>
    <row r="605" spans="1:11" x14ac:dyDescent="0.25">
      <c r="A605" s="2" t="s">
        <v>608</v>
      </c>
      <c r="B605">
        <v>51</v>
      </c>
      <c r="C605" t="s">
        <v>4</v>
      </c>
      <c r="D605" t="str">
        <f>VLOOKUP(A605,[1]Sheet1!$A:$D,2,FALSE)</f>
        <v>Philips Medical Systems</v>
      </c>
      <c r="E605" t="str">
        <f>VLOOKUP(A605,[1]Sheet1!$A:$D,3,FALSE)</f>
        <v>Achieva</v>
      </c>
      <c r="F605">
        <f>VLOOKUP(A605,[1]Sheet1!$A:$D,4,FALSE)</f>
        <v>1.5</v>
      </c>
      <c r="G605">
        <f>VLOOKUP(A605,[2]Sheet1!$A:$D,2,FALSE)</f>
        <v>0</v>
      </c>
      <c r="H605">
        <f>VLOOKUP(A605,[2]Sheet1!$A:$D,3,FALSE)</f>
        <v>0</v>
      </c>
      <c r="I605">
        <f>VLOOKUP(A605,[2]Sheet1!$A:$D,4,FALSE)</f>
        <v>2</v>
      </c>
      <c r="J605" t="str">
        <f>VLOOKUP(A605,[3]Sheet1!$A:$C,2,FALSE)</f>
        <v>OBS2</v>
      </c>
      <c r="K605" t="str">
        <f>VLOOKUP(A605,[3]Sheet1!$A:$C,3,FALSE)</f>
        <v>FLAIR</v>
      </c>
    </row>
    <row r="606" spans="1:11" x14ac:dyDescent="0.25">
      <c r="A606" s="2" t="s">
        <v>609</v>
      </c>
      <c r="B606">
        <v>62</v>
      </c>
      <c r="C606" t="s">
        <v>7</v>
      </c>
      <c r="D606" t="str">
        <f>VLOOKUP(A606,[1]Sheet1!$A:$D,2,FALSE)</f>
        <v>SIEMENS</v>
      </c>
      <c r="E606" t="str">
        <f>VLOOKUP(A606,[1]Sheet1!$A:$D,3,FALSE)</f>
        <v>Aera</v>
      </c>
      <c r="F606">
        <f>VLOOKUP(A606,[1]Sheet1!$A:$D,4,FALSE)</f>
        <v>1.5</v>
      </c>
      <c r="G606">
        <f>VLOOKUP(A606,[2]Sheet1!$A:$D,2,FALSE)</f>
        <v>0</v>
      </c>
      <c r="H606">
        <f>VLOOKUP(A606,[2]Sheet1!$A:$D,3,FALSE)</f>
        <v>-1</v>
      </c>
      <c r="I606">
        <f>VLOOKUP(A606,[2]Sheet1!$A:$D,4,FALSE)</f>
        <v>4</v>
      </c>
      <c r="J606" t="str">
        <f>VLOOKUP(A606,[3]Sheet1!$A:$C,2,FALSE)</f>
        <v>AUTO</v>
      </c>
      <c r="K606" t="str">
        <f>VLOOKUP(A606,[3]Sheet1!$A:$C,3,FALSE)</f>
        <v>ALL</v>
      </c>
    </row>
    <row r="607" spans="1:11" x14ac:dyDescent="0.25">
      <c r="A607" s="2" t="s">
        <v>610</v>
      </c>
      <c r="B607">
        <v>65</v>
      </c>
      <c r="C607" t="s">
        <v>7</v>
      </c>
      <c r="D607" t="str">
        <f>VLOOKUP(A607,[1]Sheet1!$A:$D,2,FALSE)</f>
        <v>GE MEDICAL SYSTEMS</v>
      </c>
      <c r="E607" t="str">
        <f>VLOOKUP(A607,[1]Sheet1!$A:$D,3,FALSE)</f>
        <v>DISCOVERY MR450</v>
      </c>
      <c r="F607">
        <f>VLOOKUP(A607,[1]Sheet1!$A:$D,4,FALSE)</f>
        <v>1.5</v>
      </c>
      <c r="G607">
        <f>VLOOKUP(A607,[2]Sheet1!$A:$D,2,FALSE)</f>
        <v>1</v>
      </c>
      <c r="H607">
        <f>VLOOKUP(A607,[2]Sheet1!$A:$D,3,FALSE)</f>
        <v>1</v>
      </c>
      <c r="I607">
        <f>VLOOKUP(A607,[2]Sheet1!$A:$D,4,FALSE)</f>
        <v>3</v>
      </c>
      <c r="J607" t="str">
        <f>VLOOKUP(A607,[3]Sheet1!$A:$C,2,FALSE)</f>
        <v>OBS1</v>
      </c>
      <c r="K607" t="str">
        <f>VLOOKUP(A607,[3]Sheet1!$A:$C,3,FALSE)</f>
        <v>FLAIR</v>
      </c>
    </row>
    <row r="608" spans="1:11" x14ac:dyDescent="0.25">
      <c r="A608" s="2" t="s">
        <v>611</v>
      </c>
      <c r="B608">
        <v>65</v>
      </c>
      <c r="C608" t="s">
        <v>4</v>
      </c>
      <c r="D608" t="str">
        <f>VLOOKUP(A608,[1]Sheet1!$A:$D,2,FALSE)</f>
        <v>SIEMENS</v>
      </c>
      <c r="E608" t="str">
        <f>VLOOKUP(A608,[1]Sheet1!$A:$D,3,FALSE)</f>
        <v>Avanto</v>
      </c>
      <c r="F608">
        <f>VLOOKUP(A608,[1]Sheet1!$A:$D,4,FALSE)</f>
        <v>1.5</v>
      </c>
      <c r="G608">
        <f>VLOOKUP(A608,[2]Sheet1!$A:$D,2,FALSE)</f>
        <v>-1</v>
      </c>
      <c r="H608">
        <f>VLOOKUP(A608,[2]Sheet1!$A:$D,3,FALSE)</f>
        <v>-1</v>
      </c>
      <c r="I608">
        <f>VLOOKUP(A608,[2]Sheet1!$A:$D,4,FALSE)</f>
        <v>4</v>
      </c>
      <c r="J608" t="str">
        <f>VLOOKUP(A608,[3]Sheet1!$A:$C,2,FALSE)</f>
        <v>AUTO</v>
      </c>
      <c r="K608" t="str">
        <f>VLOOKUP(A608,[3]Sheet1!$A:$C,3,FALSE)</f>
        <v>ALL</v>
      </c>
    </row>
    <row r="609" spans="1:11" x14ac:dyDescent="0.25">
      <c r="A609" s="2" t="s">
        <v>612</v>
      </c>
      <c r="B609">
        <v>74</v>
      </c>
      <c r="C609" t="s">
        <v>4</v>
      </c>
      <c r="D609" t="str">
        <f>VLOOKUP(A609,[1]Sheet1!$A:$D,2,FALSE)</f>
        <v>GE MEDICAL SYSTEMS</v>
      </c>
      <c r="E609" t="str">
        <f>VLOOKUP(A609,[1]Sheet1!$A:$D,3,FALSE)</f>
        <v>DISCOVERY MR750</v>
      </c>
      <c r="F609">
        <f>VLOOKUP(A609,[1]Sheet1!$A:$D,4,FALSE)</f>
        <v>3</v>
      </c>
      <c r="G609">
        <f>VLOOKUP(A609,[2]Sheet1!$A:$D,2,FALSE)</f>
        <v>0</v>
      </c>
      <c r="H609">
        <f>VLOOKUP(A609,[2]Sheet1!$A:$D,3,FALSE)</f>
        <v>-1</v>
      </c>
      <c r="I609">
        <f>VLOOKUP(A609,[2]Sheet1!$A:$D,4,FALSE)</f>
        <v>4</v>
      </c>
      <c r="J609" t="str">
        <f>VLOOKUP(A609,[3]Sheet1!$A:$C,2,FALSE)</f>
        <v>OBS1</v>
      </c>
      <c r="K609" t="str">
        <f>VLOOKUP(A609,[3]Sheet1!$A:$C,3,FALSE)</f>
        <v>T2</v>
      </c>
    </row>
    <row r="610" spans="1:11" x14ac:dyDescent="0.25">
      <c r="A610" s="2" t="s">
        <v>613</v>
      </c>
      <c r="B610">
        <v>42</v>
      </c>
      <c r="C610" t="s">
        <v>7</v>
      </c>
      <c r="D610" t="str">
        <f>VLOOKUP(A610,[1]Sheet1!$A:$D,2,FALSE)</f>
        <v>Philips Medical Systems</v>
      </c>
      <c r="E610" t="str">
        <f>VLOOKUP(A610,[1]Sheet1!$A:$D,3,FALSE)</f>
        <v>Intera</v>
      </c>
      <c r="F610">
        <f>VLOOKUP(A610,[1]Sheet1!$A:$D,4,FALSE)</f>
        <v>1.5</v>
      </c>
      <c r="G610">
        <f>VLOOKUP(A610,[2]Sheet1!$A:$D,2,FALSE)</f>
        <v>-1</v>
      </c>
      <c r="H610">
        <f>VLOOKUP(A610,[2]Sheet1!$A:$D,3,FALSE)</f>
        <v>0</v>
      </c>
      <c r="I610">
        <f>VLOOKUP(A610,[2]Sheet1!$A:$D,4,FALSE)</f>
        <v>3</v>
      </c>
      <c r="J610" t="str">
        <f>VLOOKUP(A610,[3]Sheet1!$A:$C,2,FALSE)</f>
        <v>AUTO</v>
      </c>
      <c r="K610" t="str">
        <f>VLOOKUP(A610,[3]Sheet1!$A:$C,3,FALSE)</f>
        <v>ALL</v>
      </c>
    </row>
    <row r="611" spans="1:11" x14ac:dyDescent="0.25">
      <c r="A611" s="2" t="s">
        <v>614</v>
      </c>
      <c r="B611">
        <v>58</v>
      </c>
      <c r="C611" t="s">
        <v>4</v>
      </c>
      <c r="D611" t="str">
        <f>VLOOKUP(A611,[1]Sheet1!$A:$D,2,FALSE)</f>
        <v>Philips Medical Systems</v>
      </c>
      <c r="E611" t="str">
        <f>VLOOKUP(A611,[1]Sheet1!$A:$D,3,FALSE)</f>
        <v>NT Intera</v>
      </c>
      <c r="F611">
        <f>VLOOKUP(A611,[1]Sheet1!$A:$D,4,FALSE)</f>
        <v>1.5</v>
      </c>
      <c r="G611">
        <f>VLOOKUP(A611,[2]Sheet1!$A:$D,2,FALSE)</f>
        <v>-1</v>
      </c>
      <c r="H611">
        <f>VLOOKUP(A611,[2]Sheet1!$A:$D,3,FALSE)</f>
        <v>-1</v>
      </c>
      <c r="I611">
        <f>VLOOKUP(A611,[2]Sheet1!$A:$D,4,FALSE)</f>
        <v>4</v>
      </c>
      <c r="J611" t="str">
        <f>VLOOKUP(A611,[3]Sheet1!$A:$C,2,FALSE)</f>
        <v>AUTO</v>
      </c>
      <c r="K611" t="str">
        <f>VLOOKUP(A611,[3]Sheet1!$A:$C,3,FALSE)</f>
        <v>ALL</v>
      </c>
    </row>
    <row r="612" spans="1:11" x14ac:dyDescent="0.25">
      <c r="A612" s="2" t="s">
        <v>615</v>
      </c>
      <c r="B612">
        <v>73</v>
      </c>
      <c r="C612" t="s">
        <v>7</v>
      </c>
      <c r="D612" t="str">
        <f>VLOOKUP(A612,[1]Sheet1!$A:$D,2,FALSE)</f>
        <v>GE MEDICAL SYSTEMS</v>
      </c>
      <c r="E612" t="str">
        <f>VLOOKUP(A612,[1]Sheet1!$A:$D,3,FALSE)</f>
        <v>Signa HDxt</v>
      </c>
      <c r="F612">
        <f>VLOOKUP(A612,[1]Sheet1!$A:$D,4,FALSE)</f>
        <v>1.5</v>
      </c>
      <c r="G612">
        <f>VLOOKUP(A612,[2]Sheet1!$A:$D,2,FALSE)</f>
        <v>0</v>
      </c>
      <c r="H612">
        <f>VLOOKUP(A612,[2]Sheet1!$A:$D,3,FALSE)</f>
        <v>0</v>
      </c>
      <c r="I612">
        <f>VLOOKUP(A612,[2]Sheet1!$A:$D,4,FALSE)</f>
        <v>4</v>
      </c>
      <c r="J612" t="str">
        <f>VLOOKUP(A612,[3]Sheet1!$A:$C,2,FALSE)</f>
        <v>AUTO</v>
      </c>
      <c r="K612" t="str">
        <f>VLOOKUP(A612,[3]Sheet1!$A:$C,3,FALSE)</f>
        <v>ALL</v>
      </c>
    </row>
    <row r="613" spans="1:11" x14ac:dyDescent="0.25">
      <c r="A613" s="2" t="s">
        <v>616</v>
      </c>
      <c r="B613">
        <v>58</v>
      </c>
      <c r="C613" t="s">
        <v>7</v>
      </c>
      <c r="D613" t="str">
        <f>VLOOKUP(A613,[1]Sheet1!$A:$D,2,FALSE)</f>
        <v>Philips Medical Systems</v>
      </c>
      <c r="E613" t="str">
        <f>VLOOKUP(A613,[1]Sheet1!$A:$D,3,FALSE)</f>
        <v>Intera</v>
      </c>
      <c r="F613">
        <f>VLOOKUP(A613,[1]Sheet1!$A:$D,4,FALSE)</f>
        <v>1.5</v>
      </c>
      <c r="G613">
        <f>VLOOKUP(A613,[2]Sheet1!$A:$D,2,FALSE)</f>
        <v>0</v>
      </c>
      <c r="H613">
        <f>VLOOKUP(A613,[2]Sheet1!$A:$D,3,FALSE)</f>
        <v>0</v>
      </c>
      <c r="I613">
        <f>VLOOKUP(A613,[2]Sheet1!$A:$D,4,FALSE)</f>
        <v>4</v>
      </c>
      <c r="J613" t="str">
        <f>VLOOKUP(A613,[3]Sheet1!$A:$C,2,FALSE)</f>
        <v>AUTO</v>
      </c>
      <c r="K613" t="str">
        <f>VLOOKUP(A613,[3]Sheet1!$A:$C,3,FALSE)</f>
        <v>ALL</v>
      </c>
    </row>
    <row r="614" spans="1:11" x14ac:dyDescent="0.25">
      <c r="A614" s="2" t="s">
        <v>617</v>
      </c>
      <c r="B614">
        <v>64</v>
      </c>
      <c r="C614" t="s">
        <v>4</v>
      </c>
      <c r="D614" t="str">
        <f>VLOOKUP(A614,[1]Sheet1!$A:$D,2,FALSE)</f>
        <v>Philips Medical Systems</v>
      </c>
      <c r="E614" t="str">
        <f>VLOOKUP(A614,[1]Sheet1!$A:$D,3,FALSE)</f>
        <v>Intera</v>
      </c>
      <c r="F614">
        <f>VLOOKUP(A614,[1]Sheet1!$A:$D,4,FALSE)</f>
        <v>1.5</v>
      </c>
      <c r="G614">
        <f>VLOOKUP(A614,[2]Sheet1!$A:$D,2,FALSE)</f>
        <v>-1</v>
      </c>
      <c r="H614">
        <f>VLOOKUP(A614,[2]Sheet1!$A:$D,3,FALSE)</f>
        <v>-1</v>
      </c>
      <c r="I614">
        <f>VLOOKUP(A614,[2]Sheet1!$A:$D,4,FALSE)</f>
        <v>4</v>
      </c>
      <c r="J614" t="str">
        <f>VLOOKUP(A614,[3]Sheet1!$A:$C,2,FALSE)</f>
        <v>AUTO</v>
      </c>
      <c r="K614" t="str">
        <f>VLOOKUP(A614,[3]Sheet1!$A:$C,3,FALSE)</f>
        <v>ALL</v>
      </c>
    </row>
    <row r="615" spans="1:11" x14ac:dyDescent="0.25">
      <c r="A615" s="2" t="s">
        <v>618</v>
      </c>
      <c r="B615">
        <v>48</v>
      </c>
      <c r="C615" t="s">
        <v>4</v>
      </c>
      <c r="D615" t="str">
        <f>VLOOKUP(A615,[1]Sheet1!$A:$D,2,FALSE)</f>
        <v>Philips Medical Systems</v>
      </c>
      <c r="E615" t="str">
        <f>VLOOKUP(A615,[1]Sheet1!$A:$D,3,FALSE)</f>
        <v>Intera</v>
      </c>
      <c r="F615">
        <f>VLOOKUP(A615,[1]Sheet1!$A:$D,4,FALSE)</f>
        <v>1</v>
      </c>
      <c r="G615">
        <f>VLOOKUP(A615,[2]Sheet1!$A:$D,2,FALSE)</f>
        <v>-1</v>
      </c>
      <c r="H615">
        <f>VLOOKUP(A615,[2]Sheet1!$A:$D,3,FALSE)</f>
        <v>-1</v>
      </c>
      <c r="I615">
        <f>VLOOKUP(A615,[2]Sheet1!$A:$D,4,FALSE)</f>
        <v>4</v>
      </c>
      <c r="J615" t="str">
        <f>VLOOKUP(A615,[3]Sheet1!$A:$C,2,FALSE)</f>
        <v>AUTO</v>
      </c>
      <c r="K615" t="str">
        <f>VLOOKUP(A615,[3]Sheet1!$A:$C,3,FALSE)</f>
        <v>ALL</v>
      </c>
    </row>
    <row r="616" spans="1:11" x14ac:dyDescent="0.25">
      <c r="A616" s="2" t="s">
        <v>619</v>
      </c>
      <c r="B616">
        <v>31</v>
      </c>
      <c r="C616" t="s">
        <v>7</v>
      </c>
      <c r="D616" t="str">
        <f>VLOOKUP(A616,[1]Sheet1!$A:$D,2,FALSE)</f>
        <v>Philips Medical Systems</v>
      </c>
      <c r="E616" t="str">
        <f>VLOOKUP(A616,[1]Sheet1!$A:$D,3,FALSE)</f>
        <v>NT Intera</v>
      </c>
      <c r="F616">
        <f>VLOOKUP(A616,[1]Sheet1!$A:$D,4,FALSE)</f>
        <v>1</v>
      </c>
      <c r="G616">
        <f>VLOOKUP(A616,[2]Sheet1!$A:$D,2,FALSE)</f>
        <v>-1</v>
      </c>
      <c r="H616">
        <f>VLOOKUP(A616,[2]Sheet1!$A:$D,3,FALSE)</f>
        <v>-1</v>
      </c>
      <c r="I616">
        <f>VLOOKUP(A616,[2]Sheet1!$A:$D,4,FALSE)</f>
        <v>4</v>
      </c>
      <c r="J616" t="str">
        <f>VLOOKUP(A616,[3]Sheet1!$A:$C,2,FALSE)</f>
        <v>AUTO</v>
      </c>
      <c r="K616" t="str">
        <f>VLOOKUP(A616,[3]Sheet1!$A:$C,3,FALSE)</f>
        <v>ALL</v>
      </c>
    </row>
    <row r="617" spans="1:11" x14ac:dyDescent="0.25">
      <c r="A617" s="2" t="s">
        <v>620</v>
      </c>
      <c r="B617">
        <v>48</v>
      </c>
      <c r="C617" t="s">
        <v>4</v>
      </c>
      <c r="D617" t="str">
        <f>VLOOKUP(A617,[1]Sheet1!$A:$D,2,FALSE)</f>
        <v>GE MEDICAL SYSTEMS</v>
      </c>
      <c r="E617" t="str">
        <f>VLOOKUP(A617,[1]Sheet1!$A:$D,3,FALSE)</f>
        <v>GENESIS_SIGNA</v>
      </c>
      <c r="F617">
        <f>VLOOKUP(A617,[1]Sheet1!$A:$D,4,FALSE)</f>
        <v>1</v>
      </c>
      <c r="G617">
        <f>VLOOKUP(A617,[2]Sheet1!$A:$D,2,FALSE)</f>
        <v>-1</v>
      </c>
      <c r="H617">
        <f>VLOOKUP(A617,[2]Sheet1!$A:$D,3,FALSE)</f>
        <v>-1</v>
      </c>
      <c r="I617">
        <f>VLOOKUP(A617,[2]Sheet1!$A:$D,4,FALSE)</f>
        <v>4</v>
      </c>
      <c r="J617" t="str">
        <f>VLOOKUP(A617,[3]Sheet1!$A:$C,2,FALSE)</f>
        <v>AUTO</v>
      </c>
      <c r="K617" t="str">
        <f>VLOOKUP(A617,[3]Sheet1!$A:$C,3,FALSE)</f>
        <v>ALL</v>
      </c>
    </row>
    <row r="618" spans="1:11" x14ac:dyDescent="0.25">
      <c r="A618" s="2" t="s">
        <v>621</v>
      </c>
      <c r="B618">
        <v>61</v>
      </c>
      <c r="C618" t="s">
        <v>7</v>
      </c>
      <c r="D618" t="str">
        <f>VLOOKUP(A618,[1]Sheet1!$A:$D,2,FALSE)</f>
        <v>SIEMENS</v>
      </c>
      <c r="E618" t="str">
        <f>VLOOKUP(A618,[1]Sheet1!$A:$D,3,FALSE)</f>
        <v>Skyra</v>
      </c>
      <c r="F618">
        <f>VLOOKUP(A618,[1]Sheet1!$A:$D,4,FALSE)</f>
        <v>3</v>
      </c>
      <c r="G618">
        <f>VLOOKUP(A618,[2]Sheet1!$A:$D,2,FALSE)</f>
        <v>0</v>
      </c>
      <c r="H618">
        <f>VLOOKUP(A618,[2]Sheet1!$A:$D,3,FALSE)</f>
        <v>-1</v>
      </c>
      <c r="I618">
        <f>VLOOKUP(A618,[2]Sheet1!$A:$D,4,FALSE)</f>
        <v>4</v>
      </c>
      <c r="J618" t="str">
        <f>VLOOKUP(A618,[3]Sheet1!$A:$C,2,FALSE)</f>
        <v>OBS1</v>
      </c>
      <c r="K618" t="str">
        <f>VLOOKUP(A618,[3]Sheet1!$A:$C,3,FALSE)</f>
        <v>T2</v>
      </c>
    </row>
    <row r="619" spans="1:11" x14ac:dyDescent="0.25">
      <c r="A619" s="2" t="s">
        <v>622</v>
      </c>
      <c r="B619">
        <v>46</v>
      </c>
      <c r="C619" t="s">
        <v>4</v>
      </c>
      <c r="D619" t="str">
        <f>VLOOKUP(A619,[1]Sheet1!$A:$D,2,FALSE)</f>
        <v>SIEMENS</v>
      </c>
      <c r="E619" t="str">
        <f>VLOOKUP(A619,[1]Sheet1!$A:$D,3,FALSE)</f>
        <v>Symphony</v>
      </c>
      <c r="F619">
        <f>VLOOKUP(A619,[1]Sheet1!$A:$D,4,FALSE)</f>
        <v>1.5</v>
      </c>
      <c r="G619">
        <f>VLOOKUP(A619,[2]Sheet1!$A:$D,2,FALSE)</f>
        <v>-1</v>
      </c>
      <c r="H619">
        <f>VLOOKUP(A619,[2]Sheet1!$A:$D,3,FALSE)</f>
        <v>-1</v>
      </c>
      <c r="I619">
        <f>VLOOKUP(A619,[2]Sheet1!$A:$D,4,FALSE)</f>
        <v>4</v>
      </c>
      <c r="J619" t="str">
        <f>VLOOKUP(A619,[3]Sheet1!$A:$C,2,FALSE)</f>
        <v>AUTO</v>
      </c>
      <c r="K619" t="str">
        <f>VLOOKUP(A619,[3]Sheet1!$A:$C,3,FALSE)</f>
        <v>ALL</v>
      </c>
    </row>
    <row r="620" spans="1:11" x14ac:dyDescent="0.25">
      <c r="A620" s="2" t="s">
        <v>623</v>
      </c>
      <c r="B620">
        <v>42</v>
      </c>
      <c r="C620" t="s">
        <v>7</v>
      </c>
      <c r="D620" t="str">
        <f>VLOOKUP(A620,[1]Sheet1!$A:$D,2,FALSE)</f>
        <v>SIEMENS</v>
      </c>
      <c r="E620" t="str">
        <f>VLOOKUP(A620,[1]Sheet1!$A:$D,3,FALSE)</f>
        <v>Skyra</v>
      </c>
      <c r="F620">
        <f>VLOOKUP(A620,[1]Sheet1!$A:$D,4,FALSE)</f>
        <v>3</v>
      </c>
      <c r="G620">
        <f>VLOOKUP(A620,[2]Sheet1!$A:$D,2,FALSE)</f>
        <v>-1</v>
      </c>
      <c r="H620">
        <f>VLOOKUP(A620,[2]Sheet1!$A:$D,3,FALSE)</f>
        <v>-1</v>
      </c>
      <c r="I620">
        <f>VLOOKUP(A620,[2]Sheet1!$A:$D,4,FALSE)</f>
        <v>3</v>
      </c>
      <c r="J620" t="str">
        <f>VLOOKUP(A620,[3]Sheet1!$A:$C,2,FALSE)</f>
        <v>AUTO</v>
      </c>
      <c r="K620" t="str">
        <f>VLOOKUP(A620,[3]Sheet1!$A:$C,3,FALSE)</f>
        <v>ALL</v>
      </c>
    </row>
    <row r="621" spans="1:11" x14ac:dyDescent="0.25">
      <c r="A621" s="2" t="s">
        <v>624</v>
      </c>
      <c r="B621">
        <v>59</v>
      </c>
      <c r="C621" t="s">
        <v>4</v>
      </c>
      <c r="D621" t="str">
        <f>VLOOKUP(A621,[1]Sheet1!$A:$D,2,FALSE)</f>
        <v>GE MEDICAL SYSTEMS</v>
      </c>
      <c r="E621" t="str">
        <f>VLOOKUP(A621,[1]Sheet1!$A:$D,3,FALSE)</f>
        <v>GENESIS_SIGNA</v>
      </c>
      <c r="F621">
        <f>VLOOKUP(A621,[1]Sheet1!$A:$D,4,FALSE)</f>
        <v>1.5</v>
      </c>
      <c r="G621">
        <f>VLOOKUP(A621,[2]Sheet1!$A:$D,2,FALSE)</f>
        <v>-1</v>
      </c>
      <c r="H621">
        <f>VLOOKUP(A621,[2]Sheet1!$A:$D,3,FALSE)</f>
        <v>-1</v>
      </c>
      <c r="I621">
        <f>VLOOKUP(A621,[2]Sheet1!$A:$D,4,FALSE)</f>
        <v>4</v>
      </c>
      <c r="J621" t="str">
        <f>VLOOKUP(A621,[3]Sheet1!$A:$C,2,FALSE)</f>
        <v>AUTO</v>
      </c>
      <c r="K621" t="str">
        <f>VLOOKUP(A621,[3]Sheet1!$A:$C,3,FALSE)</f>
        <v>ALL</v>
      </c>
    </row>
    <row r="622" spans="1:11" x14ac:dyDescent="0.25">
      <c r="A622" s="2" t="s">
        <v>625</v>
      </c>
      <c r="B622">
        <v>71</v>
      </c>
      <c r="C622" t="s">
        <v>4</v>
      </c>
      <c r="D622" t="str">
        <f>VLOOKUP(A622,[1]Sheet1!$A:$D,2,FALSE)</f>
        <v>Philips Medical Systems</v>
      </c>
      <c r="E622" t="str">
        <f>VLOOKUP(A622,[1]Sheet1!$A:$D,3,FALSE)</f>
        <v>Ingenia</v>
      </c>
      <c r="F622">
        <f>VLOOKUP(A622,[1]Sheet1!$A:$D,4,FALSE)</f>
        <v>3</v>
      </c>
      <c r="G622">
        <f>VLOOKUP(A622,[2]Sheet1!$A:$D,2,FALSE)</f>
        <v>0</v>
      </c>
      <c r="H622">
        <f>VLOOKUP(A622,[2]Sheet1!$A:$D,3,FALSE)</f>
        <v>0</v>
      </c>
      <c r="I622">
        <f>VLOOKUP(A622,[2]Sheet1!$A:$D,4,FALSE)</f>
        <v>4</v>
      </c>
      <c r="J622" t="str">
        <f>VLOOKUP(A622,[3]Sheet1!$A:$C,2,FALSE)</f>
        <v>OBS1</v>
      </c>
      <c r="K622" t="str">
        <f>VLOOKUP(A622,[3]Sheet1!$A:$C,3,FALSE)</f>
        <v>T2</v>
      </c>
    </row>
    <row r="623" spans="1:11" x14ac:dyDescent="0.25">
      <c r="A623" s="2" t="s">
        <v>626</v>
      </c>
      <c r="B623">
        <v>75</v>
      </c>
      <c r="C623" t="s">
        <v>4</v>
      </c>
      <c r="D623" t="str">
        <f>VLOOKUP(A623,[1]Sheet1!$A:$D,2,FALSE)</f>
        <v>SIEMENS</v>
      </c>
      <c r="E623" t="str">
        <f>VLOOKUP(A623,[1]Sheet1!$A:$D,3,FALSE)</f>
        <v>Aera</v>
      </c>
      <c r="F623">
        <f>VLOOKUP(A623,[1]Sheet1!$A:$D,4,FALSE)</f>
        <v>1.5</v>
      </c>
      <c r="G623">
        <f>VLOOKUP(A623,[2]Sheet1!$A:$D,2,FALSE)</f>
        <v>0</v>
      </c>
      <c r="H623">
        <f>VLOOKUP(A623,[2]Sheet1!$A:$D,3,FALSE)</f>
        <v>-1</v>
      </c>
      <c r="I623">
        <f>VLOOKUP(A623,[2]Sheet1!$A:$D,4,FALSE)</f>
        <v>4</v>
      </c>
      <c r="J623" t="str">
        <f>VLOOKUP(A623,[3]Sheet1!$A:$C,2,FALSE)</f>
        <v>OBS1</v>
      </c>
      <c r="K623" t="str">
        <f>VLOOKUP(A623,[3]Sheet1!$A:$C,3,FALSE)</f>
        <v>T2</v>
      </c>
    </row>
    <row r="624" spans="1:11" x14ac:dyDescent="0.25">
      <c r="A624" s="2" t="s">
        <v>627</v>
      </c>
      <c r="B624">
        <v>60</v>
      </c>
      <c r="C624" t="s">
        <v>4</v>
      </c>
      <c r="D624" t="str">
        <f>VLOOKUP(A624,[1]Sheet1!$A:$D,2,FALSE)</f>
        <v>SIEMENS</v>
      </c>
      <c r="E624" t="str">
        <f>VLOOKUP(A624,[1]Sheet1!$A:$D,3,FALSE)</f>
        <v>MAGNETOM EXPERT</v>
      </c>
      <c r="F624">
        <f>VLOOKUP(A624,[1]Sheet1!$A:$D,4,FALSE)</f>
        <v>1</v>
      </c>
      <c r="G624">
        <f>VLOOKUP(A624,[2]Sheet1!$A:$D,2,FALSE)</f>
        <v>-1</v>
      </c>
      <c r="H624">
        <f>VLOOKUP(A624,[2]Sheet1!$A:$D,3,FALSE)</f>
        <v>-1</v>
      </c>
      <c r="I624">
        <f>VLOOKUP(A624,[2]Sheet1!$A:$D,4,FALSE)</f>
        <v>4</v>
      </c>
      <c r="J624" t="str">
        <f>VLOOKUP(A624,[3]Sheet1!$A:$C,2,FALSE)</f>
        <v>AUTO</v>
      </c>
      <c r="K624" t="str">
        <f>VLOOKUP(A624,[3]Sheet1!$A:$C,3,FALSE)</f>
        <v>ALL</v>
      </c>
    </row>
    <row r="625" spans="1:11" x14ac:dyDescent="0.25">
      <c r="A625" s="2" t="s">
        <v>628</v>
      </c>
      <c r="B625">
        <v>59</v>
      </c>
      <c r="C625" t="s">
        <v>4</v>
      </c>
      <c r="D625" t="str">
        <f>VLOOKUP(A625,[1]Sheet1!$A:$D,2,FALSE)</f>
        <v>Philips Medical Systems</v>
      </c>
      <c r="E625" t="str">
        <f>VLOOKUP(A625,[1]Sheet1!$A:$D,3,FALSE)</f>
        <v>Intera</v>
      </c>
      <c r="F625">
        <f>VLOOKUP(A625,[1]Sheet1!$A:$D,4,FALSE)</f>
        <v>1.5</v>
      </c>
      <c r="G625">
        <f>VLOOKUP(A625,[2]Sheet1!$A:$D,2,FALSE)</f>
        <v>0</v>
      </c>
      <c r="H625">
        <f>VLOOKUP(A625,[2]Sheet1!$A:$D,3,FALSE)</f>
        <v>-1</v>
      </c>
      <c r="I625">
        <f>VLOOKUP(A625,[2]Sheet1!$A:$D,4,FALSE)</f>
        <v>4</v>
      </c>
      <c r="J625" t="str">
        <f>VLOOKUP(A625,[3]Sheet1!$A:$C,2,FALSE)</f>
        <v>OBS1</v>
      </c>
      <c r="K625" t="str">
        <f>VLOOKUP(A625,[3]Sheet1!$A:$C,3,FALSE)</f>
        <v>T2</v>
      </c>
    </row>
    <row r="626" spans="1:11" x14ac:dyDescent="0.25">
      <c r="A626" s="2" t="s">
        <v>629</v>
      </c>
      <c r="B626">
        <v>78</v>
      </c>
      <c r="C626" t="s">
        <v>4</v>
      </c>
      <c r="D626" t="str">
        <f>VLOOKUP(A626,[1]Sheet1!$A:$D,2,FALSE)</f>
        <v>SIEMENS</v>
      </c>
      <c r="E626" t="str">
        <f>VLOOKUP(A626,[1]Sheet1!$A:$D,3,FALSE)</f>
        <v>Aera</v>
      </c>
      <c r="F626">
        <f>VLOOKUP(A626,[1]Sheet1!$A:$D,4,FALSE)</f>
        <v>1.5</v>
      </c>
      <c r="G626">
        <f>VLOOKUP(A626,[2]Sheet1!$A:$D,2,FALSE)</f>
        <v>0</v>
      </c>
      <c r="H626">
        <f>VLOOKUP(A626,[2]Sheet1!$A:$D,3,FALSE)</f>
        <v>0</v>
      </c>
      <c r="I626">
        <f>VLOOKUP(A626,[2]Sheet1!$A:$D,4,FALSE)</f>
        <v>4</v>
      </c>
      <c r="J626" t="str">
        <f>VLOOKUP(A626,[3]Sheet1!$A:$C,2,FALSE)</f>
        <v>OBS1</v>
      </c>
      <c r="K626" t="str">
        <f>VLOOKUP(A626,[3]Sheet1!$A:$C,3,FALSE)</f>
        <v>T2</v>
      </c>
    </row>
    <row r="627" spans="1:11" x14ac:dyDescent="0.25">
      <c r="A627" s="2" t="s">
        <v>630</v>
      </c>
      <c r="B627">
        <v>26</v>
      </c>
      <c r="C627" t="s">
        <v>7</v>
      </c>
      <c r="D627" t="str">
        <f>VLOOKUP(A627,[1]Sheet1!$A:$D,2,FALSE)</f>
        <v>GE MEDICAL SYSTEMS</v>
      </c>
      <c r="E627" t="str">
        <f>VLOOKUP(A627,[1]Sheet1!$A:$D,3,FALSE)</f>
        <v>DISCOVERY MR750</v>
      </c>
      <c r="F627">
        <f>VLOOKUP(A627,[1]Sheet1!$A:$D,4,FALSE)</f>
        <v>3</v>
      </c>
      <c r="G627">
        <f>VLOOKUP(A627,[2]Sheet1!$A:$D,2,FALSE)</f>
        <v>1</v>
      </c>
      <c r="H627">
        <f>VLOOKUP(A627,[2]Sheet1!$A:$D,3,FALSE)</f>
        <v>0</v>
      </c>
      <c r="I627">
        <f>VLOOKUP(A627,[2]Sheet1!$A:$D,4,FALSE)</f>
        <v>2</v>
      </c>
      <c r="J627" t="str">
        <f>VLOOKUP(A627,[3]Sheet1!$A:$C,2,FALSE)</f>
        <v>OBS1</v>
      </c>
      <c r="K627" t="str">
        <f>VLOOKUP(A627,[3]Sheet1!$A:$C,3,FALSE)</f>
        <v>FLAIR</v>
      </c>
    </row>
    <row r="628" spans="1:11" x14ac:dyDescent="0.25">
      <c r="A628" s="2" t="s">
        <v>631</v>
      </c>
      <c r="B628">
        <v>53</v>
      </c>
      <c r="C628" t="s">
        <v>7</v>
      </c>
      <c r="D628" t="str">
        <f>VLOOKUP(A628,[1]Sheet1!$A:$D,2,FALSE)</f>
        <v>SIEMENS</v>
      </c>
      <c r="E628" t="str">
        <f>VLOOKUP(A628,[1]Sheet1!$A:$D,3,FALSE)</f>
        <v>Skyra</v>
      </c>
      <c r="F628">
        <f>VLOOKUP(A628,[1]Sheet1!$A:$D,4,FALSE)</f>
        <v>3</v>
      </c>
      <c r="G628">
        <f>VLOOKUP(A628,[2]Sheet1!$A:$D,2,FALSE)</f>
        <v>0</v>
      </c>
      <c r="H628">
        <f>VLOOKUP(A628,[2]Sheet1!$A:$D,3,FALSE)</f>
        <v>-1</v>
      </c>
      <c r="I628">
        <f>VLOOKUP(A628,[2]Sheet1!$A:$D,4,FALSE)</f>
        <v>4</v>
      </c>
      <c r="J628" t="str">
        <f>VLOOKUP(A628,[3]Sheet1!$A:$C,2,FALSE)</f>
        <v>OBS1</v>
      </c>
      <c r="K628" t="str">
        <f>VLOOKUP(A628,[3]Sheet1!$A:$C,3,FALSE)</f>
        <v>T2</v>
      </c>
    </row>
    <row r="629" spans="1:11" x14ac:dyDescent="0.25">
      <c r="A629" s="2" t="s">
        <v>632</v>
      </c>
      <c r="B629">
        <v>76</v>
      </c>
      <c r="C629" t="s">
        <v>7</v>
      </c>
      <c r="D629" t="str">
        <f>VLOOKUP(A629,[1]Sheet1!$A:$D,2,FALSE)</f>
        <v>Philips Medical Systems</v>
      </c>
      <c r="E629" t="str">
        <f>VLOOKUP(A629,[1]Sheet1!$A:$D,3,FALSE)</f>
        <v>Achieva</v>
      </c>
      <c r="F629">
        <f>VLOOKUP(A629,[1]Sheet1!$A:$D,4,FALSE)</f>
        <v>1.5</v>
      </c>
      <c r="G629">
        <f>VLOOKUP(A629,[2]Sheet1!$A:$D,2,FALSE)</f>
        <v>-1</v>
      </c>
      <c r="H629">
        <f>VLOOKUP(A629,[2]Sheet1!$A:$D,3,FALSE)</f>
        <v>-1</v>
      </c>
      <c r="I629">
        <f>VLOOKUP(A629,[2]Sheet1!$A:$D,4,FALSE)</f>
        <v>4</v>
      </c>
      <c r="J629" t="str">
        <f>VLOOKUP(A629,[3]Sheet1!$A:$C,2,FALSE)</f>
        <v>OBS1</v>
      </c>
      <c r="K629" t="str">
        <f>VLOOKUP(A629,[3]Sheet1!$A:$C,3,FALSE)</f>
        <v>T2</v>
      </c>
    </row>
    <row r="630" spans="1:11" x14ac:dyDescent="0.25">
      <c r="A630" s="2" t="s">
        <v>633</v>
      </c>
      <c r="B630">
        <v>45</v>
      </c>
      <c r="C630" t="s">
        <v>4</v>
      </c>
      <c r="D630" t="str">
        <f>VLOOKUP(A630,[1]Sheet1!$A:$D,2,FALSE)</f>
        <v>GE MEDICAL SYSTEMS</v>
      </c>
      <c r="E630" t="str">
        <f>VLOOKUP(A630,[1]Sheet1!$A:$D,3,FALSE)</f>
        <v>Signa HDxt</v>
      </c>
      <c r="F630">
        <f>VLOOKUP(A630,[1]Sheet1!$A:$D,4,FALSE)</f>
        <v>1.5</v>
      </c>
      <c r="G630">
        <f>VLOOKUP(A630,[2]Sheet1!$A:$D,2,FALSE)</f>
        <v>0</v>
      </c>
      <c r="H630">
        <f>VLOOKUP(A630,[2]Sheet1!$A:$D,3,FALSE)</f>
        <v>0</v>
      </c>
      <c r="I630">
        <f>VLOOKUP(A630,[2]Sheet1!$A:$D,4,FALSE)</f>
        <v>4</v>
      </c>
      <c r="J630" t="str">
        <f>VLOOKUP(A630,[3]Sheet1!$A:$C,2,FALSE)</f>
        <v>AUTO</v>
      </c>
      <c r="K630" t="str">
        <f>VLOOKUP(A630,[3]Sheet1!$A:$C,3,FALSE)</f>
        <v>ALL</v>
      </c>
    </row>
    <row r="631" spans="1:11" x14ac:dyDescent="0.25">
      <c r="A631" s="2" t="s">
        <v>634</v>
      </c>
      <c r="B631">
        <v>66</v>
      </c>
      <c r="C631" t="s">
        <v>7</v>
      </c>
      <c r="D631" t="str">
        <f>VLOOKUP(A631,[1]Sheet1!$A:$D,2,FALSE)</f>
        <v>Philips Medical Systems</v>
      </c>
      <c r="E631" t="str">
        <f>VLOOKUP(A631,[1]Sheet1!$A:$D,3,FALSE)</f>
        <v>Achieva</v>
      </c>
      <c r="F631">
        <f>VLOOKUP(A631,[1]Sheet1!$A:$D,4,FALSE)</f>
        <v>1.5</v>
      </c>
      <c r="G631">
        <f>VLOOKUP(A631,[2]Sheet1!$A:$D,2,FALSE)</f>
        <v>-1</v>
      </c>
      <c r="H631">
        <f>VLOOKUP(A631,[2]Sheet1!$A:$D,3,FALSE)</f>
        <v>-1</v>
      </c>
      <c r="I631">
        <f>VLOOKUP(A631,[2]Sheet1!$A:$D,4,FALSE)</f>
        <v>4</v>
      </c>
      <c r="J631" t="str">
        <f>VLOOKUP(A631,[3]Sheet1!$A:$C,2,FALSE)</f>
        <v>AUTO</v>
      </c>
      <c r="K631" t="str">
        <f>VLOOKUP(A631,[3]Sheet1!$A:$C,3,FALSE)</f>
        <v>ALL</v>
      </c>
    </row>
    <row r="632" spans="1:11" x14ac:dyDescent="0.25">
      <c r="A632" s="2" t="s">
        <v>635</v>
      </c>
      <c r="B632">
        <v>43</v>
      </c>
      <c r="C632" t="s">
        <v>7</v>
      </c>
      <c r="D632" t="str">
        <f>VLOOKUP(A632,[1]Sheet1!$A:$D,2,FALSE)</f>
        <v>GE MEDICAL SYSTEMS</v>
      </c>
      <c r="E632" t="str">
        <f>VLOOKUP(A632,[1]Sheet1!$A:$D,3,FALSE)</f>
        <v>Optima MR450w</v>
      </c>
      <c r="F632">
        <f>VLOOKUP(A632,[1]Sheet1!$A:$D,4,FALSE)</f>
        <v>1.5</v>
      </c>
      <c r="G632">
        <f>VLOOKUP(A632,[2]Sheet1!$A:$D,2,FALSE)</f>
        <v>1</v>
      </c>
      <c r="H632">
        <f>VLOOKUP(A632,[2]Sheet1!$A:$D,3,FALSE)</f>
        <v>1</v>
      </c>
      <c r="I632">
        <f>VLOOKUP(A632,[2]Sheet1!$A:$D,4,FALSE)</f>
        <v>2</v>
      </c>
      <c r="J632" t="str">
        <f>VLOOKUP(A632,[3]Sheet1!$A:$C,2,FALSE)</f>
        <v>OBS2</v>
      </c>
      <c r="K632" t="str">
        <f>VLOOKUP(A632,[3]Sheet1!$A:$C,3,FALSE)</f>
        <v>FLAIR</v>
      </c>
    </row>
    <row r="633" spans="1:11" x14ac:dyDescent="0.25">
      <c r="A633" s="2" t="s">
        <v>636</v>
      </c>
      <c r="B633">
        <v>50</v>
      </c>
      <c r="C633" t="s">
        <v>4</v>
      </c>
      <c r="D633" t="str">
        <f>VLOOKUP(A633,[1]Sheet1!$A:$D,2,FALSE)</f>
        <v>SIEMENS</v>
      </c>
      <c r="E633" t="str">
        <f>VLOOKUP(A633,[1]Sheet1!$A:$D,3,FALSE)</f>
        <v>Avanto</v>
      </c>
      <c r="F633">
        <f>VLOOKUP(A633,[1]Sheet1!$A:$D,4,FALSE)</f>
        <v>1.5</v>
      </c>
      <c r="G633">
        <f>VLOOKUP(A633,[2]Sheet1!$A:$D,2,FALSE)</f>
        <v>0</v>
      </c>
      <c r="H633">
        <f>VLOOKUP(A633,[2]Sheet1!$A:$D,3,FALSE)</f>
        <v>-1</v>
      </c>
      <c r="I633">
        <f>VLOOKUP(A633,[2]Sheet1!$A:$D,4,FALSE)</f>
        <v>4</v>
      </c>
      <c r="J633" t="str">
        <f>VLOOKUP(A633,[3]Sheet1!$A:$C,2,FALSE)</f>
        <v>OBS1</v>
      </c>
      <c r="K633" t="str">
        <f>VLOOKUP(A633,[3]Sheet1!$A:$C,3,FALSE)</f>
        <v>T2</v>
      </c>
    </row>
    <row r="634" spans="1:11" x14ac:dyDescent="0.25">
      <c r="A634" s="2" t="s">
        <v>637</v>
      </c>
      <c r="B634">
        <v>52</v>
      </c>
      <c r="C634" t="s">
        <v>4</v>
      </c>
      <c r="D634" t="str">
        <f>VLOOKUP(A634,[1]Sheet1!$A:$D,2,FALSE)</f>
        <v>Philips Medical Systems</v>
      </c>
      <c r="E634" t="str">
        <f>VLOOKUP(A634,[1]Sheet1!$A:$D,3,FALSE)</f>
        <v>Intera</v>
      </c>
      <c r="F634">
        <f>VLOOKUP(A634,[1]Sheet1!$A:$D,4,FALSE)</f>
        <v>1</v>
      </c>
      <c r="G634">
        <f>VLOOKUP(A634,[2]Sheet1!$A:$D,2,FALSE)</f>
        <v>1</v>
      </c>
      <c r="H634">
        <f>VLOOKUP(A634,[2]Sheet1!$A:$D,3,FALSE)</f>
        <v>1</v>
      </c>
      <c r="I634">
        <f>VLOOKUP(A634,[2]Sheet1!$A:$D,4,FALSE)</f>
        <v>3</v>
      </c>
      <c r="J634" t="str">
        <f>VLOOKUP(A634,[3]Sheet1!$A:$C,2,FALSE)</f>
        <v>AUTO</v>
      </c>
      <c r="K634" t="str">
        <f>VLOOKUP(A634,[3]Sheet1!$A:$C,3,FALSE)</f>
        <v>ALL</v>
      </c>
    </row>
    <row r="635" spans="1:11" x14ac:dyDescent="0.25">
      <c r="A635" s="2" t="s">
        <v>638</v>
      </c>
      <c r="B635">
        <v>67</v>
      </c>
      <c r="C635" t="s">
        <v>4</v>
      </c>
      <c r="D635" t="str">
        <f>VLOOKUP(A635,[1]Sheet1!$A:$D,2,FALSE)</f>
        <v>SIEMENS</v>
      </c>
      <c r="E635" t="str">
        <f>VLOOKUP(A635,[1]Sheet1!$A:$D,3,FALSE)</f>
        <v>Symphony</v>
      </c>
      <c r="F635">
        <f>VLOOKUP(A635,[1]Sheet1!$A:$D,4,FALSE)</f>
        <v>1.5</v>
      </c>
      <c r="G635">
        <f>VLOOKUP(A635,[2]Sheet1!$A:$D,2,FALSE)</f>
        <v>-1</v>
      </c>
      <c r="H635">
        <f>VLOOKUP(A635,[2]Sheet1!$A:$D,3,FALSE)</f>
        <v>-1</v>
      </c>
      <c r="I635">
        <f>VLOOKUP(A635,[2]Sheet1!$A:$D,4,FALSE)</f>
        <v>4</v>
      </c>
      <c r="J635" t="str">
        <f>VLOOKUP(A635,[3]Sheet1!$A:$C,2,FALSE)</f>
        <v>AUTO</v>
      </c>
      <c r="K635" t="str">
        <f>VLOOKUP(A635,[3]Sheet1!$A:$C,3,FALSE)</f>
        <v>ALL</v>
      </c>
    </row>
    <row r="636" spans="1:11" x14ac:dyDescent="0.25">
      <c r="A636" s="2" t="s">
        <v>639</v>
      </c>
      <c r="B636">
        <v>64</v>
      </c>
      <c r="C636" t="s">
        <v>4</v>
      </c>
      <c r="D636" t="str">
        <f>VLOOKUP(A636,[1]Sheet1!$A:$D,2,FALSE)</f>
        <v>Philips Medical Systems</v>
      </c>
      <c r="E636" t="str">
        <f>VLOOKUP(A636,[1]Sheet1!$A:$D,3,FALSE)</f>
        <v>Achieva</v>
      </c>
      <c r="F636">
        <f>VLOOKUP(A636,[1]Sheet1!$A:$D,4,FALSE)</f>
        <v>1.5</v>
      </c>
      <c r="G636">
        <f>VLOOKUP(A636,[2]Sheet1!$A:$D,2,FALSE)</f>
        <v>0</v>
      </c>
      <c r="H636">
        <f>VLOOKUP(A636,[2]Sheet1!$A:$D,3,FALSE)</f>
        <v>-1</v>
      </c>
      <c r="I636">
        <f>VLOOKUP(A636,[2]Sheet1!$A:$D,4,FALSE)</f>
        <v>4</v>
      </c>
      <c r="J636" t="str">
        <f>VLOOKUP(A636,[3]Sheet1!$A:$C,2,FALSE)</f>
        <v>OBS1</v>
      </c>
      <c r="K636" t="str">
        <f>VLOOKUP(A636,[3]Sheet1!$A:$C,3,FALSE)</f>
        <v>T2</v>
      </c>
    </row>
    <row r="637" spans="1:11" x14ac:dyDescent="0.25">
      <c r="A637" s="2" t="s">
        <v>640</v>
      </c>
      <c r="B637">
        <v>52</v>
      </c>
      <c r="C637" t="s">
        <v>4</v>
      </c>
      <c r="D637" t="str">
        <f>VLOOKUP(A637,[1]Sheet1!$A:$D,2,FALSE)</f>
        <v>SIEMENS</v>
      </c>
      <c r="E637" t="str">
        <f>VLOOKUP(A637,[1]Sheet1!$A:$D,3,FALSE)</f>
        <v>Aera</v>
      </c>
      <c r="F637">
        <f>VLOOKUP(A637,[1]Sheet1!$A:$D,4,FALSE)</f>
        <v>1.5</v>
      </c>
      <c r="G637">
        <f>VLOOKUP(A637,[2]Sheet1!$A:$D,2,FALSE)</f>
        <v>1</v>
      </c>
      <c r="H637">
        <f>VLOOKUP(A637,[2]Sheet1!$A:$D,3,FALSE)</f>
        <v>1</v>
      </c>
      <c r="I637">
        <f>VLOOKUP(A637,[2]Sheet1!$A:$D,4,FALSE)</f>
        <v>2</v>
      </c>
      <c r="J637" t="str">
        <f>VLOOKUP(A637,[3]Sheet1!$A:$C,2,FALSE)</f>
        <v>OBS2</v>
      </c>
      <c r="K637" t="str">
        <f>VLOOKUP(A637,[3]Sheet1!$A:$C,3,FALSE)</f>
        <v>FLAIR</v>
      </c>
    </row>
    <row r="638" spans="1:11" x14ac:dyDescent="0.25">
      <c r="A638" s="2" t="s">
        <v>641</v>
      </c>
      <c r="B638">
        <v>67</v>
      </c>
      <c r="C638" t="s">
        <v>4</v>
      </c>
      <c r="D638" t="str">
        <f>VLOOKUP(A638,[1]Sheet1!$A:$D,2,FALSE)</f>
        <v>Philips Medical Systems</v>
      </c>
      <c r="E638" t="str">
        <f>VLOOKUP(A638,[1]Sheet1!$A:$D,3,FALSE)</f>
        <v>Intera</v>
      </c>
      <c r="F638">
        <f>VLOOKUP(A638,[1]Sheet1!$A:$D,4,FALSE)</f>
        <v>1.5</v>
      </c>
      <c r="G638">
        <f>VLOOKUP(A638,[2]Sheet1!$A:$D,2,FALSE)</f>
        <v>-1</v>
      </c>
      <c r="H638">
        <f>VLOOKUP(A638,[2]Sheet1!$A:$D,3,FALSE)</f>
        <v>-1</v>
      </c>
      <c r="I638">
        <f>VLOOKUP(A638,[2]Sheet1!$A:$D,4,FALSE)</f>
        <v>4</v>
      </c>
      <c r="J638" t="str">
        <f>VLOOKUP(A638,[3]Sheet1!$A:$C,2,FALSE)</f>
        <v>AUTO</v>
      </c>
      <c r="K638" t="str">
        <f>VLOOKUP(A638,[3]Sheet1!$A:$C,3,FALSE)</f>
        <v>ALL</v>
      </c>
    </row>
    <row r="639" spans="1:11" x14ac:dyDescent="0.25">
      <c r="A639" s="2" t="s">
        <v>642</v>
      </c>
      <c r="B639">
        <v>36</v>
      </c>
      <c r="C639" t="s">
        <v>7</v>
      </c>
      <c r="D639" t="str">
        <f>VLOOKUP(A639,[1]Sheet1!$A:$D,2,FALSE)</f>
        <v>SIEMENS</v>
      </c>
      <c r="E639" t="str">
        <f>VLOOKUP(A639,[1]Sheet1!$A:$D,3,FALSE)</f>
        <v>Symphony</v>
      </c>
      <c r="F639">
        <f>VLOOKUP(A639,[1]Sheet1!$A:$D,4,FALSE)</f>
        <v>1.5</v>
      </c>
      <c r="G639">
        <f>VLOOKUP(A639,[2]Sheet1!$A:$D,2,FALSE)</f>
        <v>1</v>
      </c>
      <c r="H639">
        <f>VLOOKUP(A639,[2]Sheet1!$A:$D,3,FALSE)</f>
        <v>1</v>
      </c>
      <c r="I639">
        <f>VLOOKUP(A639,[2]Sheet1!$A:$D,4,FALSE)</f>
        <v>-1</v>
      </c>
      <c r="J639" t="str">
        <f>VLOOKUP(A639,[3]Sheet1!$A:$C,2,FALSE)</f>
        <v>AUTO</v>
      </c>
      <c r="K639" t="str">
        <f>VLOOKUP(A639,[3]Sheet1!$A:$C,3,FALSE)</f>
        <v>ALL</v>
      </c>
    </row>
    <row r="640" spans="1:11" x14ac:dyDescent="0.25">
      <c r="A640" s="2" t="s">
        <v>643</v>
      </c>
      <c r="B640">
        <v>71</v>
      </c>
      <c r="C640" t="s">
        <v>4</v>
      </c>
      <c r="D640" t="str">
        <f>VLOOKUP(A640,[1]Sheet1!$A:$D,2,FALSE)</f>
        <v>GE MEDICAL SYSTEMS</v>
      </c>
      <c r="E640" t="str">
        <f>VLOOKUP(A640,[1]Sheet1!$A:$D,3,FALSE)</f>
        <v>DISCOVERY MR450</v>
      </c>
      <c r="F640">
        <f>VLOOKUP(A640,[1]Sheet1!$A:$D,4,FALSE)</f>
        <v>1.5</v>
      </c>
      <c r="G640">
        <f>VLOOKUP(A640,[2]Sheet1!$A:$D,2,FALSE)</f>
        <v>0</v>
      </c>
      <c r="H640">
        <f>VLOOKUP(A640,[2]Sheet1!$A:$D,3,FALSE)</f>
        <v>-1</v>
      </c>
      <c r="I640">
        <f>VLOOKUP(A640,[2]Sheet1!$A:$D,4,FALSE)</f>
        <v>4</v>
      </c>
      <c r="J640" t="str">
        <f>VLOOKUP(A640,[3]Sheet1!$A:$C,2,FALSE)</f>
        <v>OBS1</v>
      </c>
      <c r="K640" t="str">
        <f>VLOOKUP(A640,[3]Sheet1!$A:$C,3,FALSE)</f>
        <v>T2</v>
      </c>
    </row>
    <row r="641" spans="1:11" x14ac:dyDescent="0.25">
      <c r="A641" s="2" t="s">
        <v>644</v>
      </c>
      <c r="B641">
        <v>-1</v>
      </c>
      <c r="C641" t="s">
        <v>7</v>
      </c>
      <c r="D641" t="str">
        <f>VLOOKUP(A641,[1]Sheet1!$A:$D,2,FALSE)</f>
        <v>Philips</v>
      </c>
      <c r="E641" t="str">
        <f>VLOOKUP(A641,[1]Sheet1!$A:$D,3,FALSE)</f>
        <v>Ingenia</v>
      </c>
      <c r="F641">
        <f>VLOOKUP(A641,[1]Sheet1!$A:$D,4,FALSE)</f>
        <v>1.5</v>
      </c>
      <c r="G641">
        <f>VLOOKUP(A641,[2]Sheet1!$A:$D,2,FALSE)</f>
        <v>0</v>
      </c>
      <c r="H641">
        <f>VLOOKUP(A641,[2]Sheet1!$A:$D,3,FALSE)</f>
        <v>-1</v>
      </c>
      <c r="I641">
        <f>VLOOKUP(A641,[2]Sheet1!$A:$D,4,FALSE)</f>
        <v>-1</v>
      </c>
      <c r="J641" t="str">
        <f>VLOOKUP(A641,[3]Sheet1!$A:$C,2,FALSE)</f>
        <v>AUTO</v>
      </c>
      <c r="K641" t="str">
        <f>VLOOKUP(A641,[3]Sheet1!$A:$C,3,FALSE)</f>
        <v>ALL</v>
      </c>
    </row>
    <row r="642" spans="1:11" x14ac:dyDescent="0.25">
      <c r="A642" s="2" t="s">
        <v>645</v>
      </c>
      <c r="B642">
        <v>70</v>
      </c>
      <c r="C642" t="s">
        <v>4</v>
      </c>
      <c r="D642" t="str">
        <f>VLOOKUP(A642,[1]Sheet1!$A:$D,2,FALSE)</f>
        <v>GE MEDICAL SYSTEMS</v>
      </c>
      <c r="E642" t="str">
        <f>VLOOKUP(A642,[1]Sheet1!$A:$D,3,FALSE)</f>
        <v>DISCOVERY MR450</v>
      </c>
      <c r="F642">
        <f>VLOOKUP(A642,[1]Sheet1!$A:$D,4,FALSE)</f>
        <v>1.5</v>
      </c>
      <c r="G642">
        <f>VLOOKUP(A642,[2]Sheet1!$A:$D,2,FALSE)</f>
        <v>0</v>
      </c>
      <c r="H642">
        <f>VLOOKUP(A642,[2]Sheet1!$A:$D,3,FALSE)</f>
        <v>-1</v>
      </c>
      <c r="I642">
        <f>VLOOKUP(A642,[2]Sheet1!$A:$D,4,FALSE)</f>
        <v>4</v>
      </c>
      <c r="J642" t="str">
        <f>VLOOKUP(A642,[3]Sheet1!$A:$C,2,FALSE)</f>
        <v>OBS1</v>
      </c>
      <c r="K642" t="str">
        <f>VLOOKUP(A642,[3]Sheet1!$A:$C,3,FALSE)</f>
        <v>T2</v>
      </c>
    </row>
    <row r="643" spans="1:11" x14ac:dyDescent="0.25">
      <c r="A643" s="2" t="s">
        <v>646</v>
      </c>
      <c r="B643">
        <v>44</v>
      </c>
      <c r="C643" t="s">
        <v>4</v>
      </c>
      <c r="D643" t="str">
        <f>VLOOKUP(A643,[1]Sheet1!$A:$D,2,FALSE)</f>
        <v>Philips Medical Systems</v>
      </c>
      <c r="E643" t="str">
        <f>VLOOKUP(A643,[1]Sheet1!$A:$D,3,FALSE)</f>
        <v>Achieva</v>
      </c>
      <c r="F643">
        <f>VLOOKUP(A643,[1]Sheet1!$A:$D,4,FALSE)</f>
        <v>1.5</v>
      </c>
      <c r="G643">
        <f>VLOOKUP(A643,[2]Sheet1!$A:$D,2,FALSE)</f>
        <v>-1</v>
      </c>
      <c r="H643">
        <f>VLOOKUP(A643,[2]Sheet1!$A:$D,3,FALSE)</f>
        <v>-1</v>
      </c>
      <c r="I643">
        <f>VLOOKUP(A643,[2]Sheet1!$A:$D,4,FALSE)</f>
        <v>3</v>
      </c>
      <c r="J643" t="str">
        <f>VLOOKUP(A643,[3]Sheet1!$A:$C,2,FALSE)</f>
        <v>AUTO</v>
      </c>
      <c r="K643" t="str">
        <f>VLOOKUP(A643,[3]Sheet1!$A:$C,3,FALSE)</f>
        <v>ALL</v>
      </c>
    </row>
    <row r="644" spans="1:11" x14ac:dyDescent="0.25">
      <c r="A644" s="2" t="s">
        <v>647</v>
      </c>
      <c r="B644">
        <v>65</v>
      </c>
      <c r="C644" t="s">
        <v>4</v>
      </c>
      <c r="D644" t="str">
        <f>VLOOKUP(A644,[1]Sheet1!$A:$D,2,FALSE)</f>
        <v>SIEMENS</v>
      </c>
      <c r="E644" t="str">
        <f>VLOOKUP(A644,[1]Sheet1!$A:$D,3,FALSE)</f>
        <v>Aera</v>
      </c>
      <c r="F644">
        <f>VLOOKUP(A644,[1]Sheet1!$A:$D,4,FALSE)</f>
        <v>1.5</v>
      </c>
      <c r="G644">
        <f>VLOOKUP(A644,[2]Sheet1!$A:$D,2,FALSE)</f>
        <v>0</v>
      </c>
      <c r="H644">
        <f>VLOOKUP(A644,[2]Sheet1!$A:$D,3,FALSE)</f>
        <v>-1</v>
      </c>
      <c r="I644">
        <f>VLOOKUP(A644,[2]Sheet1!$A:$D,4,FALSE)</f>
        <v>4</v>
      </c>
      <c r="J644" t="str">
        <f>VLOOKUP(A644,[3]Sheet1!$A:$C,2,FALSE)</f>
        <v>AUTO</v>
      </c>
      <c r="K644" t="str">
        <f>VLOOKUP(A644,[3]Sheet1!$A:$C,3,FALSE)</f>
        <v>ALL</v>
      </c>
    </row>
    <row r="645" spans="1:11" x14ac:dyDescent="0.25">
      <c r="A645" s="2" t="s">
        <v>648</v>
      </c>
      <c r="B645">
        <v>53</v>
      </c>
      <c r="C645" t="s">
        <v>4</v>
      </c>
      <c r="D645" t="str">
        <f>VLOOKUP(A645,[1]Sheet1!$A:$D,2,FALSE)</f>
        <v>GE MEDICAL SYSTEMS</v>
      </c>
      <c r="E645" t="str">
        <f>VLOOKUP(A645,[1]Sheet1!$A:$D,3,FALSE)</f>
        <v>Signa HDxt</v>
      </c>
      <c r="F645">
        <f>VLOOKUP(A645,[1]Sheet1!$A:$D,4,FALSE)</f>
        <v>1.5</v>
      </c>
      <c r="G645">
        <f>VLOOKUP(A645,[2]Sheet1!$A:$D,2,FALSE)</f>
        <v>-1</v>
      </c>
      <c r="H645">
        <f>VLOOKUP(A645,[2]Sheet1!$A:$D,3,FALSE)</f>
        <v>0</v>
      </c>
      <c r="I645">
        <f>VLOOKUP(A645,[2]Sheet1!$A:$D,4,FALSE)</f>
        <v>3</v>
      </c>
      <c r="J645" t="str">
        <f>VLOOKUP(A645,[3]Sheet1!$A:$C,2,FALSE)</f>
        <v>AUTO</v>
      </c>
      <c r="K645" t="str">
        <f>VLOOKUP(A645,[3]Sheet1!$A:$C,3,FALSE)</f>
        <v>ALL</v>
      </c>
    </row>
    <row r="646" spans="1:11" x14ac:dyDescent="0.25">
      <c r="A646" s="2" t="s">
        <v>649</v>
      </c>
      <c r="B646">
        <v>-1</v>
      </c>
      <c r="C646" t="s">
        <v>4</v>
      </c>
      <c r="D646" t="str">
        <f>VLOOKUP(A646,[1]Sheet1!$A:$D,2,FALSE)</f>
        <v>GE MEDICAL SYSTEMS</v>
      </c>
      <c r="E646" t="str">
        <f>VLOOKUP(A646,[1]Sheet1!$A:$D,3,FALSE)</f>
        <v>Optima MR450w</v>
      </c>
      <c r="F646">
        <f>VLOOKUP(A646,[1]Sheet1!$A:$D,4,FALSE)</f>
        <v>1.5</v>
      </c>
      <c r="G646">
        <f>VLOOKUP(A646,[2]Sheet1!$A:$D,2,FALSE)</f>
        <v>0</v>
      </c>
      <c r="H646">
        <f>VLOOKUP(A646,[2]Sheet1!$A:$D,3,FALSE)</f>
        <v>-1</v>
      </c>
      <c r="I646">
        <f>VLOOKUP(A646,[2]Sheet1!$A:$D,4,FALSE)</f>
        <v>-1</v>
      </c>
      <c r="J646" t="str">
        <f>VLOOKUP(A646,[3]Sheet1!$A:$C,2,FALSE)</f>
        <v>OBS1</v>
      </c>
      <c r="K646" t="str">
        <f>VLOOKUP(A646,[3]Sheet1!$A:$C,3,FALSE)</f>
        <v>FLAIR</v>
      </c>
    </row>
    <row r="647" spans="1:11" x14ac:dyDescent="0.25">
      <c r="A647" s="2" t="s">
        <v>650</v>
      </c>
      <c r="B647">
        <v>69</v>
      </c>
      <c r="C647" t="s">
        <v>4</v>
      </c>
      <c r="D647" t="str">
        <f>VLOOKUP(A647,[1]Sheet1!$A:$D,2,FALSE)</f>
        <v>SIEMENS</v>
      </c>
      <c r="E647" t="str">
        <f>VLOOKUP(A647,[1]Sheet1!$A:$D,3,FALSE)</f>
        <v>Harmony</v>
      </c>
      <c r="F647">
        <f>VLOOKUP(A647,[1]Sheet1!$A:$D,4,FALSE)</f>
        <v>1</v>
      </c>
      <c r="G647">
        <f>VLOOKUP(A647,[2]Sheet1!$A:$D,2,FALSE)</f>
        <v>-1</v>
      </c>
      <c r="H647">
        <f>VLOOKUP(A647,[2]Sheet1!$A:$D,3,FALSE)</f>
        <v>-1</v>
      </c>
      <c r="I647">
        <f>VLOOKUP(A647,[2]Sheet1!$A:$D,4,FALSE)</f>
        <v>4</v>
      </c>
      <c r="J647" t="str">
        <f>VLOOKUP(A647,[3]Sheet1!$A:$C,2,FALSE)</f>
        <v>AUTO</v>
      </c>
      <c r="K647" t="str">
        <f>VLOOKUP(A647,[3]Sheet1!$A:$C,3,FALSE)</f>
        <v>ALL</v>
      </c>
    </row>
    <row r="648" spans="1:11" x14ac:dyDescent="0.25">
      <c r="A648" s="2" t="s">
        <v>651</v>
      </c>
      <c r="B648">
        <v>42</v>
      </c>
      <c r="C648" t="s">
        <v>7</v>
      </c>
      <c r="D648" t="str">
        <f>VLOOKUP(A648,[1]Sheet1!$A:$D,2,FALSE)</f>
        <v>GE MEDICAL SYSTEMS</v>
      </c>
      <c r="E648" t="str">
        <f>VLOOKUP(A648,[1]Sheet1!$A:$D,3,FALSE)</f>
        <v>SIGNA HDx</v>
      </c>
      <c r="F648">
        <f>VLOOKUP(A648,[1]Sheet1!$A:$D,4,FALSE)</f>
        <v>1.5</v>
      </c>
      <c r="G648">
        <f>VLOOKUP(A648,[2]Sheet1!$A:$D,2,FALSE)</f>
        <v>1</v>
      </c>
      <c r="H648">
        <f>VLOOKUP(A648,[2]Sheet1!$A:$D,3,FALSE)</f>
        <v>0</v>
      </c>
      <c r="I648">
        <f>VLOOKUP(A648,[2]Sheet1!$A:$D,4,FALSE)</f>
        <v>2</v>
      </c>
      <c r="J648" t="str">
        <f>VLOOKUP(A648,[3]Sheet1!$A:$C,2,FALSE)</f>
        <v>AUTO</v>
      </c>
      <c r="K648" t="str">
        <f>VLOOKUP(A648,[3]Sheet1!$A:$C,3,FALSE)</f>
        <v>ALL</v>
      </c>
    </row>
    <row r="649" spans="1:11" x14ac:dyDescent="0.25">
      <c r="A649" s="2" t="s">
        <v>652</v>
      </c>
      <c r="B649">
        <v>74</v>
      </c>
      <c r="C649" t="s">
        <v>7</v>
      </c>
      <c r="D649" t="str">
        <f>VLOOKUP(A649,[1]Sheet1!$A:$D,2,FALSE)</f>
        <v>GE MEDICAL SYSTEMS</v>
      </c>
      <c r="E649" t="str">
        <f>VLOOKUP(A649,[1]Sheet1!$A:$D,3,FALSE)</f>
        <v>DISCOVERY MR450</v>
      </c>
      <c r="F649">
        <f>VLOOKUP(A649,[1]Sheet1!$A:$D,4,FALSE)</f>
        <v>1.5</v>
      </c>
      <c r="G649">
        <f>VLOOKUP(A649,[2]Sheet1!$A:$D,2,FALSE)</f>
        <v>0</v>
      </c>
      <c r="H649">
        <f>VLOOKUP(A649,[2]Sheet1!$A:$D,3,FALSE)</f>
        <v>-1</v>
      </c>
      <c r="I649">
        <f>VLOOKUP(A649,[2]Sheet1!$A:$D,4,FALSE)</f>
        <v>4</v>
      </c>
      <c r="J649" t="str">
        <f>VLOOKUP(A649,[3]Sheet1!$A:$C,2,FALSE)</f>
        <v>OBS1</v>
      </c>
      <c r="K649" t="str">
        <f>VLOOKUP(A649,[3]Sheet1!$A:$C,3,FALSE)</f>
        <v>T2</v>
      </c>
    </row>
    <row r="650" spans="1:11" x14ac:dyDescent="0.25">
      <c r="A650" s="2" t="s">
        <v>653</v>
      </c>
      <c r="B650">
        <v>54</v>
      </c>
      <c r="C650" t="s">
        <v>4</v>
      </c>
      <c r="D650" t="str">
        <f>VLOOKUP(A650,[1]Sheet1!$A:$D,2,FALSE)</f>
        <v>GE MEDICAL SYSTEMS</v>
      </c>
      <c r="E650" t="str">
        <f>VLOOKUP(A650,[1]Sheet1!$A:$D,3,FALSE)</f>
        <v>DISCOVERY MR750</v>
      </c>
      <c r="F650">
        <f>VLOOKUP(A650,[1]Sheet1!$A:$D,4,FALSE)</f>
        <v>3</v>
      </c>
      <c r="G650">
        <f>VLOOKUP(A650,[2]Sheet1!$A:$D,2,FALSE)</f>
        <v>-1</v>
      </c>
      <c r="H650">
        <f>VLOOKUP(A650,[2]Sheet1!$A:$D,3,FALSE)</f>
        <v>-1</v>
      </c>
      <c r="I650">
        <f>VLOOKUP(A650,[2]Sheet1!$A:$D,4,FALSE)</f>
        <v>4</v>
      </c>
      <c r="J650" t="str">
        <f>VLOOKUP(A650,[3]Sheet1!$A:$C,2,FALSE)</f>
        <v>AUTO</v>
      </c>
      <c r="K650" t="str">
        <f>VLOOKUP(A650,[3]Sheet1!$A:$C,3,FALSE)</f>
        <v>ALL</v>
      </c>
    </row>
    <row r="651" spans="1:11" x14ac:dyDescent="0.25">
      <c r="A651" s="2" t="s">
        <v>654</v>
      </c>
      <c r="B651">
        <v>41</v>
      </c>
      <c r="C651" t="s">
        <v>4</v>
      </c>
      <c r="D651" t="str">
        <f>VLOOKUP(A651,[1]Sheet1!$A:$D,2,FALSE)</f>
        <v>SIEMENS</v>
      </c>
      <c r="E651" t="str">
        <f>VLOOKUP(A651,[1]Sheet1!$A:$D,3,FALSE)</f>
        <v>Symphony</v>
      </c>
      <c r="F651">
        <f>VLOOKUP(A651,[1]Sheet1!$A:$D,4,FALSE)</f>
        <v>1.5</v>
      </c>
      <c r="G651">
        <f>VLOOKUP(A651,[2]Sheet1!$A:$D,2,FALSE)</f>
        <v>-1</v>
      </c>
      <c r="H651">
        <f>VLOOKUP(A651,[2]Sheet1!$A:$D,3,FALSE)</f>
        <v>-1</v>
      </c>
      <c r="I651">
        <f>VLOOKUP(A651,[2]Sheet1!$A:$D,4,FALSE)</f>
        <v>3</v>
      </c>
      <c r="J651" t="str">
        <f>VLOOKUP(A651,[3]Sheet1!$A:$C,2,FALSE)</f>
        <v>AUTO</v>
      </c>
      <c r="K651" t="str">
        <f>VLOOKUP(A651,[3]Sheet1!$A:$C,3,FALSE)</f>
        <v>ALL</v>
      </c>
    </row>
    <row r="652" spans="1:11" x14ac:dyDescent="0.25">
      <c r="A652" s="2" t="s">
        <v>655</v>
      </c>
      <c r="B652">
        <v>74</v>
      </c>
      <c r="C652" t="s">
        <v>4</v>
      </c>
      <c r="D652" t="str">
        <f>VLOOKUP(A652,[1]Sheet1!$A:$D,2,FALSE)</f>
        <v>SIEMENS</v>
      </c>
      <c r="E652" t="str">
        <f>VLOOKUP(A652,[1]Sheet1!$A:$D,3,FALSE)</f>
        <v>Symphony</v>
      </c>
      <c r="F652">
        <f>VLOOKUP(A652,[1]Sheet1!$A:$D,4,FALSE)</f>
        <v>1.5</v>
      </c>
      <c r="G652">
        <f>VLOOKUP(A652,[2]Sheet1!$A:$D,2,FALSE)</f>
        <v>-1</v>
      </c>
      <c r="H652">
        <f>VLOOKUP(A652,[2]Sheet1!$A:$D,3,FALSE)</f>
        <v>-1</v>
      </c>
      <c r="I652">
        <f>VLOOKUP(A652,[2]Sheet1!$A:$D,4,FALSE)</f>
        <v>4</v>
      </c>
      <c r="J652" t="str">
        <f>VLOOKUP(A652,[3]Sheet1!$A:$C,2,FALSE)</f>
        <v>AUTO</v>
      </c>
      <c r="K652" t="str">
        <f>VLOOKUP(A652,[3]Sheet1!$A:$C,3,FALSE)</f>
        <v>ALL</v>
      </c>
    </row>
    <row r="653" spans="1:11" x14ac:dyDescent="0.25">
      <c r="A653" s="2" t="s">
        <v>656</v>
      </c>
      <c r="B653">
        <v>54</v>
      </c>
      <c r="C653" t="s">
        <v>7</v>
      </c>
      <c r="D653" t="str">
        <f>VLOOKUP(A653,[1]Sheet1!$A:$D,2,FALSE)</f>
        <v>SIEMENS</v>
      </c>
      <c r="E653" t="str">
        <f>VLOOKUP(A653,[1]Sheet1!$A:$D,3,FALSE)</f>
        <v>Harmony</v>
      </c>
      <c r="F653">
        <f>VLOOKUP(A653,[1]Sheet1!$A:$D,4,FALSE)</f>
        <v>1</v>
      </c>
      <c r="G653">
        <f>VLOOKUP(A653,[2]Sheet1!$A:$D,2,FALSE)</f>
        <v>-1</v>
      </c>
      <c r="H653">
        <f>VLOOKUP(A653,[2]Sheet1!$A:$D,3,FALSE)</f>
        <v>-1</v>
      </c>
      <c r="I653">
        <f>VLOOKUP(A653,[2]Sheet1!$A:$D,4,FALSE)</f>
        <v>4</v>
      </c>
      <c r="J653" t="str">
        <f>VLOOKUP(A653,[3]Sheet1!$A:$C,2,FALSE)</f>
        <v>AUTO</v>
      </c>
      <c r="K653" t="str">
        <f>VLOOKUP(A653,[3]Sheet1!$A:$C,3,FALSE)</f>
        <v>ALL</v>
      </c>
    </row>
    <row r="654" spans="1:11" x14ac:dyDescent="0.25">
      <c r="A654" s="2" t="s">
        <v>657</v>
      </c>
      <c r="B654">
        <v>63</v>
      </c>
      <c r="C654" t="s">
        <v>4</v>
      </c>
      <c r="D654" t="str">
        <f>VLOOKUP(A654,[1]Sheet1!$A:$D,2,FALSE)</f>
        <v>SIEMENS</v>
      </c>
      <c r="E654" t="str">
        <f>VLOOKUP(A654,[1]Sheet1!$A:$D,3,FALSE)</f>
        <v>Symphony</v>
      </c>
      <c r="F654">
        <f>VLOOKUP(A654,[1]Sheet1!$A:$D,4,FALSE)</f>
        <v>1.5</v>
      </c>
      <c r="G654">
        <f>VLOOKUP(A654,[2]Sheet1!$A:$D,2,FALSE)</f>
        <v>-1</v>
      </c>
      <c r="H654">
        <f>VLOOKUP(A654,[2]Sheet1!$A:$D,3,FALSE)</f>
        <v>-1</v>
      </c>
      <c r="I654">
        <f>VLOOKUP(A654,[2]Sheet1!$A:$D,4,FALSE)</f>
        <v>4</v>
      </c>
      <c r="J654" t="str">
        <f>VLOOKUP(A654,[3]Sheet1!$A:$C,2,FALSE)</f>
        <v>AUTO</v>
      </c>
      <c r="K654" t="str">
        <f>VLOOKUP(A654,[3]Sheet1!$A:$C,3,FALSE)</f>
        <v>ALL</v>
      </c>
    </row>
    <row r="655" spans="1:11" x14ac:dyDescent="0.25">
      <c r="A655" s="2" t="s">
        <v>658</v>
      </c>
      <c r="B655">
        <v>64</v>
      </c>
      <c r="C655" t="s">
        <v>7</v>
      </c>
      <c r="D655" t="str">
        <f>VLOOKUP(A655,[1]Sheet1!$A:$D,2,FALSE)</f>
        <v>Philips Medical Systems</v>
      </c>
      <c r="E655" t="str">
        <f>VLOOKUP(A655,[1]Sheet1!$A:$D,3,FALSE)</f>
        <v>Intera</v>
      </c>
      <c r="F655">
        <f>VLOOKUP(A655,[1]Sheet1!$A:$D,4,FALSE)</f>
        <v>1.5</v>
      </c>
      <c r="G655">
        <f>VLOOKUP(A655,[2]Sheet1!$A:$D,2,FALSE)</f>
        <v>-1</v>
      </c>
      <c r="H655">
        <f>VLOOKUP(A655,[2]Sheet1!$A:$D,3,FALSE)</f>
        <v>-1</v>
      </c>
      <c r="I655">
        <f>VLOOKUP(A655,[2]Sheet1!$A:$D,4,FALSE)</f>
        <v>4</v>
      </c>
      <c r="J655" t="str">
        <f>VLOOKUP(A655,[3]Sheet1!$A:$C,2,FALSE)</f>
        <v>AUTO</v>
      </c>
      <c r="K655" t="str">
        <f>VLOOKUP(A655,[3]Sheet1!$A:$C,3,FALSE)</f>
        <v>ALL</v>
      </c>
    </row>
    <row r="656" spans="1:11" x14ac:dyDescent="0.25">
      <c r="A656" s="2" t="s">
        <v>659</v>
      </c>
      <c r="B656">
        <v>45</v>
      </c>
      <c r="C656" t="s">
        <v>7</v>
      </c>
      <c r="D656" t="str">
        <f>VLOOKUP(A656,[1]Sheet1!$A:$D,2,FALSE)</f>
        <v>GE MEDICAL SYSTEMS</v>
      </c>
      <c r="E656" t="str">
        <f>VLOOKUP(A656,[1]Sheet1!$A:$D,3,FALSE)</f>
        <v>GENESIS_SIGNA</v>
      </c>
      <c r="F656">
        <f>VLOOKUP(A656,[1]Sheet1!$A:$D,4,FALSE)</f>
        <v>1</v>
      </c>
      <c r="G656">
        <f>VLOOKUP(A656,[2]Sheet1!$A:$D,2,FALSE)</f>
        <v>1</v>
      </c>
      <c r="H656">
        <f>VLOOKUP(A656,[2]Sheet1!$A:$D,3,FALSE)</f>
        <v>0</v>
      </c>
      <c r="I656">
        <f>VLOOKUP(A656,[2]Sheet1!$A:$D,4,FALSE)</f>
        <v>2</v>
      </c>
      <c r="J656" t="str">
        <f>VLOOKUP(A656,[3]Sheet1!$A:$C,2,FALSE)</f>
        <v>OBS2</v>
      </c>
      <c r="K656" t="str">
        <f>VLOOKUP(A656,[3]Sheet1!$A:$C,3,FALSE)</f>
        <v>FLAIR</v>
      </c>
    </row>
    <row r="657" spans="1:11" x14ac:dyDescent="0.25">
      <c r="A657" s="2" t="s">
        <v>660</v>
      </c>
      <c r="B657">
        <v>45</v>
      </c>
      <c r="C657" t="s">
        <v>7</v>
      </c>
      <c r="D657" t="str">
        <f>VLOOKUP(A657,[1]Sheet1!$A:$D,2,FALSE)</f>
        <v>SIEMENS</v>
      </c>
      <c r="E657" t="str">
        <f>VLOOKUP(A657,[1]Sheet1!$A:$D,3,FALSE)</f>
        <v>Symphony</v>
      </c>
      <c r="F657">
        <f>VLOOKUP(A657,[1]Sheet1!$A:$D,4,FALSE)</f>
        <v>1.5</v>
      </c>
      <c r="G657">
        <f>VLOOKUP(A657,[2]Sheet1!$A:$D,2,FALSE)</f>
        <v>1</v>
      </c>
      <c r="H657">
        <f>VLOOKUP(A657,[2]Sheet1!$A:$D,3,FALSE)</f>
        <v>1</v>
      </c>
      <c r="I657">
        <f>VLOOKUP(A657,[2]Sheet1!$A:$D,4,FALSE)</f>
        <v>2</v>
      </c>
      <c r="J657" t="str">
        <f>VLOOKUP(A657,[3]Sheet1!$A:$C,2,FALSE)</f>
        <v>AUTO</v>
      </c>
      <c r="K657" t="str">
        <f>VLOOKUP(A657,[3]Sheet1!$A:$C,3,FALSE)</f>
        <v>ALL</v>
      </c>
    </row>
    <row r="658" spans="1:11" x14ac:dyDescent="0.25">
      <c r="A658" s="2" t="s">
        <v>661</v>
      </c>
      <c r="B658">
        <v>61</v>
      </c>
      <c r="C658" t="s">
        <v>7</v>
      </c>
      <c r="D658" t="str">
        <f>VLOOKUP(A658,[1]Sheet1!$A:$D,2,FALSE)</f>
        <v>SIEMENS</v>
      </c>
      <c r="E658" t="str">
        <f>VLOOKUP(A658,[1]Sheet1!$A:$D,3,FALSE)</f>
        <v>Aera</v>
      </c>
      <c r="F658">
        <f>VLOOKUP(A658,[1]Sheet1!$A:$D,4,FALSE)</f>
        <v>1.5</v>
      </c>
      <c r="G658">
        <f>VLOOKUP(A658,[2]Sheet1!$A:$D,2,FALSE)</f>
        <v>0</v>
      </c>
      <c r="H658">
        <f>VLOOKUP(A658,[2]Sheet1!$A:$D,3,FALSE)</f>
        <v>-1</v>
      </c>
      <c r="I658">
        <f>VLOOKUP(A658,[2]Sheet1!$A:$D,4,FALSE)</f>
        <v>4</v>
      </c>
      <c r="J658" t="str">
        <f>VLOOKUP(A658,[3]Sheet1!$A:$C,2,FALSE)</f>
        <v>OBS1</v>
      </c>
      <c r="K658" t="str">
        <f>VLOOKUP(A658,[3]Sheet1!$A:$C,3,FALSE)</f>
        <v>FLAIR</v>
      </c>
    </row>
    <row r="659" spans="1:11" x14ac:dyDescent="0.25">
      <c r="A659" s="2" t="s">
        <v>662</v>
      </c>
      <c r="B659">
        <v>59</v>
      </c>
      <c r="C659" t="s">
        <v>4</v>
      </c>
      <c r="D659" t="str">
        <f>VLOOKUP(A659,[1]Sheet1!$A:$D,2,FALSE)</f>
        <v>Philips Medical Systems</v>
      </c>
      <c r="E659" t="str">
        <f>VLOOKUP(A659,[1]Sheet1!$A:$D,3,FALSE)</f>
        <v>Achieva</v>
      </c>
      <c r="F659">
        <f>VLOOKUP(A659,[1]Sheet1!$A:$D,4,FALSE)</f>
        <v>3</v>
      </c>
      <c r="G659">
        <f>VLOOKUP(A659,[2]Sheet1!$A:$D,2,FALSE)</f>
        <v>0</v>
      </c>
      <c r="H659">
        <f>VLOOKUP(A659,[2]Sheet1!$A:$D,3,FALSE)</f>
        <v>0</v>
      </c>
      <c r="I659">
        <f>VLOOKUP(A659,[2]Sheet1!$A:$D,4,FALSE)</f>
        <v>4</v>
      </c>
      <c r="J659" t="str">
        <f>VLOOKUP(A659,[3]Sheet1!$A:$C,2,FALSE)</f>
        <v>OBS1</v>
      </c>
      <c r="K659" t="str">
        <f>VLOOKUP(A659,[3]Sheet1!$A:$C,3,FALSE)</f>
        <v>T2</v>
      </c>
    </row>
    <row r="660" spans="1:11" x14ac:dyDescent="0.25">
      <c r="A660" s="2" t="s">
        <v>663</v>
      </c>
      <c r="B660">
        <v>59</v>
      </c>
      <c r="C660" t="s">
        <v>4</v>
      </c>
      <c r="D660" t="str">
        <f>VLOOKUP(A660,[1]Sheet1!$A:$D,2,FALSE)</f>
        <v>SIEMENS</v>
      </c>
      <c r="E660" t="str">
        <f>VLOOKUP(A660,[1]Sheet1!$A:$D,3,FALSE)</f>
        <v>Aera</v>
      </c>
      <c r="F660">
        <f>VLOOKUP(A660,[1]Sheet1!$A:$D,4,FALSE)</f>
        <v>1.5</v>
      </c>
      <c r="G660">
        <f>VLOOKUP(A660,[2]Sheet1!$A:$D,2,FALSE)</f>
        <v>0</v>
      </c>
      <c r="H660">
        <f>VLOOKUP(A660,[2]Sheet1!$A:$D,3,FALSE)</f>
        <v>-1</v>
      </c>
      <c r="I660">
        <f>VLOOKUP(A660,[2]Sheet1!$A:$D,4,FALSE)</f>
        <v>4</v>
      </c>
      <c r="J660" t="str">
        <f>VLOOKUP(A660,[3]Sheet1!$A:$C,2,FALSE)</f>
        <v>OBS1</v>
      </c>
      <c r="K660" t="str">
        <f>VLOOKUP(A660,[3]Sheet1!$A:$C,3,FALSE)</f>
        <v>T2</v>
      </c>
    </row>
    <row r="661" spans="1:11" x14ac:dyDescent="0.25">
      <c r="A661" s="2" t="s">
        <v>664</v>
      </c>
      <c r="B661">
        <v>47</v>
      </c>
      <c r="C661" t="s">
        <v>7</v>
      </c>
      <c r="D661" t="str">
        <f>VLOOKUP(A661,[1]Sheet1!$A:$D,2,FALSE)</f>
        <v>Philips Medical Systems</v>
      </c>
      <c r="E661" t="str">
        <f>VLOOKUP(A661,[1]Sheet1!$A:$D,3,FALSE)</f>
        <v>Achieva</v>
      </c>
      <c r="F661">
        <f>VLOOKUP(A661,[1]Sheet1!$A:$D,4,FALSE)</f>
        <v>1.5</v>
      </c>
      <c r="G661">
        <f>VLOOKUP(A661,[2]Sheet1!$A:$D,2,FALSE)</f>
        <v>-1</v>
      </c>
      <c r="H661">
        <f>VLOOKUP(A661,[2]Sheet1!$A:$D,3,FALSE)</f>
        <v>-1</v>
      </c>
      <c r="I661">
        <f>VLOOKUP(A661,[2]Sheet1!$A:$D,4,FALSE)</f>
        <v>3</v>
      </c>
      <c r="J661" t="str">
        <f>VLOOKUP(A661,[3]Sheet1!$A:$C,2,FALSE)</f>
        <v>AUTO</v>
      </c>
      <c r="K661" t="str">
        <f>VLOOKUP(A661,[3]Sheet1!$A:$C,3,FALSE)</f>
        <v>ALL</v>
      </c>
    </row>
    <row r="662" spans="1:11" x14ac:dyDescent="0.25">
      <c r="A662" s="2" t="s">
        <v>665</v>
      </c>
      <c r="B662">
        <v>50</v>
      </c>
      <c r="C662" t="s">
        <v>4</v>
      </c>
      <c r="D662" t="str">
        <f>VLOOKUP(A662,[1]Sheet1!$A:$D,2,FALSE)</f>
        <v>SIEMENS</v>
      </c>
      <c r="E662" t="str">
        <f>VLOOKUP(A662,[1]Sheet1!$A:$D,3,FALSE)</f>
        <v>Symphony</v>
      </c>
      <c r="F662">
        <f>VLOOKUP(A662,[1]Sheet1!$A:$D,4,FALSE)</f>
        <v>1.5</v>
      </c>
      <c r="G662">
        <f>VLOOKUP(A662,[2]Sheet1!$A:$D,2,FALSE)</f>
        <v>0</v>
      </c>
      <c r="H662">
        <f>VLOOKUP(A662,[2]Sheet1!$A:$D,3,FALSE)</f>
        <v>0</v>
      </c>
      <c r="I662">
        <f>VLOOKUP(A662,[2]Sheet1!$A:$D,4,FALSE)</f>
        <v>2</v>
      </c>
      <c r="J662" t="str">
        <f>VLOOKUP(A662,[3]Sheet1!$A:$C,2,FALSE)</f>
        <v>OBS2</v>
      </c>
      <c r="K662" t="str">
        <f>VLOOKUP(A662,[3]Sheet1!$A:$C,3,FALSE)</f>
        <v>FLAIR</v>
      </c>
    </row>
    <row r="663" spans="1:11" x14ac:dyDescent="0.25">
      <c r="A663" s="2" t="s">
        <v>666</v>
      </c>
      <c r="B663">
        <v>-1</v>
      </c>
      <c r="C663" t="s">
        <v>7</v>
      </c>
      <c r="D663" t="str">
        <f>VLOOKUP(A663,[1]Sheet1!$A:$D,2,FALSE)</f>
        <v>GE MEDICAL SYSTEMS</v>
      </c>
      <c r="E663" t="str">
        <f>VLOOKUP(A663,[1]Sheet1!$A:$D,3,FALSE)</f>
        <v>DISCOVERY MR450</v>
      </c>
      <c r="F663">
        <f>VLOOKUP(A663,[1]Sheet1!$A:$D,4,FALSE)</f>
        <v>1.5</v>
      </c>
      <c r="G663">
        <f>VLOOKUP(A663,[2]Sheet1!$A:$D,2,FALSE)</f>
        <v>1</v>
      </c>
      <c r="H663">
        <f>VLOOKUP(A663,[2]Sheet1!$A:$D,3,FALSE)</f>
        <v>0</v>
      </c>
      <c r="I663">
        <f>VLOOKUP(A663,[2]Sheet1!$A:$D,4,FALSE)</f>
        <v>-1</v>
      </c>
      <c r="J663" t="str">
        <f>VLOOKUP(A663,[3]Sheet1!$A:$C,2,FALSE)</f>
        <v>OBS1</v>
      </c>
      <c r="K663" t="str">
        <f>VLOOKUP(A663,[3]Sheet1!$A:$C,3,FALSE)</f>
        <v>T2</v>
      </c>
    </row>
    <row r="664" spans="1:11" x14ac:dyDescent="0.25">
      <c r="A664" s="2" t="s">
        <v>667</v>
      </c>
      <c r="B664">
        <v>-1</v>
      </c>
      <c r="C664" t="s">
        <v>4</v>
      </c>
      <c r="D664" t="str">
        <f>VLOOKUP(A664,[1]Sheet1!$A:$D,2,FALSE)</f>
        <v>SIEMENS</v>
      </c>
      <c r="E664" t="str">
        <f>VLOOKUP(A664,[1]Sheet1!$A:$D,3,FALSE)</f>
        <v>Aera</v>
      </c>
      <c r="F664">
        <f>VLOOKUP(A664,[1]Sheet1!$A:$D,4,FALSE)</f>
        <v>1.5</v>
      </c>
      <c r="G664">
        <f>VLOOKUP(A664,[2]Sheet1!$A:$D,2,FALSE)</f>
        <v>0</v>
      </c>
      <c r="H664">
        <f>VLOOKUP(A664,[2]Sheet1!$A:$D,3,FALSE)</f>
        <v>-1</v>
      </c>
      <c r="I664">
        <f>VLOOKUP(A664,[2]Sheet1!$A:$D,4,FALSE)</f>
        <v>-1</v>
      </c>
      <c r="J664" t="str">
        <f>VLOOKUP(A664,[3]Sheet1!$A:$C,2,FALSE)</f>
        <v>OBS1</v>
      </c>
      <c r="K664" t="str">
        <f>VLOOKUP(A664,[3]Sheet1!$A:$C,3,FALSE)</f>
        <v>FLAIR</v>
      </c>
    </row>
    <row r="665" spans="1:11" x14ac:dyDescent="0.25">
      <c r="A665" s="2" t="s">
        <v>668</v>
      </c>
      <c r="B665">
        <v>75</v>
      </c>
      <c r="C665" t="s">
        <v>7</v>
      </c>
      <c r="D665" t="str">
        <f>VLOOKUP(A665,[1]Sheet1!$A:$D,2,FALSE)</f>
        <v>GE MEDICAL SYSTEMS</v>
      </c>
      <c r="E665" t="str">
        <f>VLOOKUP(A665,[1]Sheet1!$A:$D,3,FALSE)</f>
        <v>DISCOVERY MR450</v>
      </c>
      <c r="F665">
        <f>VLOOKUP(A665,[1]Sheet1!$A:$D,4,FALSE)</f>
        <v>1.5</v>
      </c>
      <c r="G665">
        <f>VLOOKUP(A665,[2]Sheet1!$A:$D,2,FALSE)</f>
        <v>0</v>
      </c>
      <c r="H665">
        <f>VLOOKUP(A665,[2]Sheet1!$A:$D,3,FALSE)</f>
        <v>0</v>
      </c>
      <c r="I665">
        <f>VLOOKUP(A665,[2]Sheet1!$A:$D,4,FALSE)</f>
        <v>4</v>
      </c>
      <c r="J665" t="str">
        <f>VLOOKUP(A665,[3]Sheet1!$A:$C,2,FALSE)</f>
        <v>OBS1</v>
      </c>
      <c r="K665" t="str">
        <f>VLOOKUP(A665,[3]Sheet1!$A:$C,3,FALSE)</f>
        <v>T2</v>
      </c>
    </row>
    <row r="666" spans="1:11" x14ac:dyDescent="0.25">
      <c r="A666" s="2" t="s">
        <v>669</v>
      </c>
      <c r="B666">
        <v>71</v>
      </c>
      <c r="C666" t="s">
        <v>4</v>
      </c>
      <c r="D666" t="str">
        <f>VLOOKUP(A666,[1]Sheet1!$A:$D,2,FALSE)</f>
        <v>SIEMENS</v>
      </c>
      <c r="E666" t="str">
        <f>VLOOKUP(A666,[1]Sheet1!$A:$D,3,FALSE)</f>
        <v>Aera</v>
      </c>
      <c r="F666">
        <f>VLOOKUP(A666,[1]Sheet1!$A:$D,4,FALSE)</f>
        <v>1.5</v>
      </c>
      <c r="G666">
        <f>VLOOKUP(A666,[2]Sheet1!$A:$D,2,FALSE)</f>
        <v>0</v>
      </c>
      <c r="H666">
        <f>VLOOKUP(A666,[2]Sheet1!$A:$D,3,FALSE)</f>
        <v>-1</v>
      </c>
      <c r="I666">
        <f>VLOOKUP(A666,[2]Sheet1!$A:$D,4,FALSE)</f>
        <v>4</v>
      </c>
      <c r="J666" t="str">
        <f>VLOOKUP(A666,[3]Sheet1!$A:$C,2,FALSE)</f>
        <v>OBS1</v>
      </c>
      <c r="K666" t="str">
        <f>VLOOKUP(A666,[3]Sheet1!$A:$C,3,FALSE)</f>
        <v>T2</v>
      </c>
    </row>
    <row r="667" spans="1:11" x14ac:dyDescent="0.25">
      <c r="A667" s="2" t="s">
        <v>670</v>
      </c>
      <c r="B667">
        <v>73</v>
      </c>
      <c r="C667" t="s">
        <v>4</v>
      </c>
      <c r="D667" t="str">
        <f>VLOOKUP(A667,[1]Sheet1!$A:$D,2,FALSE)</f>
        <v>SIEMENS</v>
      </c>
      <c r="E667" t="str">
        <f>VLOOKUP(A667,[1]Sheet1!$A:$D,3,FALSE)</f>
        <v>Aera</v>
      </c>
      <c r="F667">
        <f>VLOOKUP(A667,[1]Sheet1!$A:$D,4,FALSE)</f>
        <v>1.5</v>
      </c>
      <c r="G667">
        <f>VLOOKUP(A667,[2]Sheet1!$A:$D,2,FALSE)</f>
        <v>-1</v>
      </c>
      <c r="H667">
        <f>VLOOKUP(A667,[2]Sheet1!$A:$D,3,FALSE)</f>
        <v>-1</v>
      </c>
      <c r="I667">
        <f>VLOOKUP(A667,[2]Sheet1!$A:$D,4,FALSE)</f>
        <v>4</v>
      </c>
      <c r="J667" t="str">
        <f>VLOOKUP(A667,[3]Sheet1!$A:$C,2,FALSE)</f>
        <v>OBS1</v>
      </c>
      <c r="K667" t="str">
        <f>VLOOKUP(A667,[3]Sheet1!$A:$C,3,FALSE)</f>
        <v>T2</v>
      </c>
    </row>
    <row r="668" spans="1:11" x14ac:dyDescent="0.25">
      <c r="A668" s="2" t="s">
        <v>671</v>
      </c>
      <c r="B668">
        <v>67</v>
      </c>
      <c r="C668" t="s">
        <v>4</v>
      </c>
      <c r="D668" t="str">
        <f>VLOOKUP(A668,[1]Sheet1!$A:$D,2,FALSE)</f>
        <v>GE MEDICAL SYSTEMS</v>
      </c>
      <c r="E668" t="str">
        <f>VLOOKUP(A668,[1]Sheet1!$A:$D,3,FALSE)</f>
        <v>DISCOVERY MR750</v>
      </c>
      <c r="F668">
        <f>VLOOKUP(A668,[1]Sheet1!$A:$D,4,FALSE)</f>
        <v>3</v>
      </c>
      <c r="G668">
        <f>VLOOKUP(A668,[2]Sheet1!$A:$D,2,FALSE)</f>
        <v>0</v>
      </c>
      <c r="H668">
        <f>VLOOKUP(A668,[2]Sheet1!$A:$D,3,FALSE)</f>
        <v>-1</v>
      </c>
      <c r="I668">
        <f>VLOOKUP(A668,[2]Sheet1!$A:$D,4,FALSE)</f>
        <v>4</v>
      </c>
      <c r="J668" t="str">
        <f>VLOOKUP(A668,[3]Sheet1!$A:$C,2,FALSE)</f>
        <v>OBS1</v>
      </c>
      <c r="K668" t="str">
        <f>VLOOKUP(A668,[3]Sheet1!$A:$C,3,FALSE)</f>
        <v>T2</v>
      </c>
    </row>
    <row r="669" spans="1:11" x14ac:dyDescent="0.25">
      <c r="A669" s="2" t="s">
        <v>672</v>
      </c>
      <c r="B669">
        <v>42</v>
      </c>
      <c r="C669" t="s">
        <v>7</v>
      </c>
      <c r="D669" t="str">
        <f>VLOOKUP(A669,[1]Sheet1!$A:$D,2,FALSE)</f>
        <v>Philips Medical Systems</v>
      </c>
      <c r="E669" t="str">
        <f>VLOOKUP(A669,[1]Sheet1!$A:$D,3,FALSE)</f>
        <v>Intera</v>
      </c>
      <c r="F669">
        <f>VLOOKUP(A669,[1]Sheet1!$A:$D,4,FALSE)</f>
        <v>1.5</v>
      </c>
      <c r="G669">
        <f>VLOOKUP(A669,[2]Sheet1!$A:$D,2,FALSE)</f>
        <v>1</v>
      </c>
      <c r="H669">
        <f>VLOOKUP(A669,[2]Sheet1!$A:$D,3,FALSE)</f>
        <v>1</v>
      </c>
      <c r="I669">
        <f>VLOOKUP(A669,[2]Sheet1!$A:$D,4,FALSE)</f>
        <v>2</v>
      </c>
      <c r="J669" t="str">
        <f>VLOOKUP(A669,[3]Sheet1!$A:$C,2,FALSE)</f>
        <v>AUTO</v>
      </c>
      <c r="K669" t="str">
        <f>VLOOKUP(A669,[3]Sheet1!$A:$C,3,FALSE)</f>
        <v>ALL</v>
      </c>
    </row>
    <row r="670" spans="1:11" x14ac:dyDescent="0.25">
      <c r="A670" s="2" t="s">
        <v>673</v>
      </c>
      <c r="B670">
        <v>79</v>
      </c>
      <c r="C670" t="s">
        <v>4</v>
      </c>
      <c r="D670" t="str">
        <f>VLOOKUP(A670,[1]Sheet1!$A:$D,2,FALSE)</f>
        <v>SIEMENS</v>
      </c>
      <c r="E670" t="str">
        <f>VLOOKUP(A670,[1]Sheet1!$A:$D,3,FALSE)</f>
        <v>Avanto</v>
      </c>
      <c r="F670">
        <f>VLOOKUP(A670,[1]Sheet1!$A:$D,4,FALSE)</f>
        <v>1.5</v>
      </c>
      <c r="G670">
        <f>VLOOKUP(A670,[2]Sheet1!$A:$D,2,FALSE)</f>
        <v>0</v>
      </c>
      <c r="H670">
        <f>VLOOKUP(A670,[2]Sheet1!$A:$D,3,FALSE)</f>
        <v>0</v>
      </c>
      <c r="I670">
        <f>VLOOKUP(A670,[2]Sheet1!$A:$D,4,FALSE)</f>
        <v>4</v>
      </c>
      <c r="J670" t="str">
        <f>VLOOKUP(A670,[3]Sheet1!$A:$C,2,FALSE)</f>
        <v>OBS1</v>
      </c>
      <c r="K670" t="str">
        <f>VLOOKUP(A670,[3]Sheet1!$A:$C,3,FALSE)</f>
        <v>T2</v>
      </c>
    </row>
    <row r="671" spans="1:11" x14ac:dyDescent="0.25">
      <c r="A671" s="2" t="s">
        <v>674</v>
      </c>
      <c r="B671">
        <v>53</v>
      </c>
      <c r="C671" t="s">
        <v>4</v>
      </c>
      <c r="D671" t="str">
        <f>VLOOKUP(A671,[1]Sheet1!$A:$D,2,FALSE)</f>
        <v>GE MEDICAL SYSTEMS</v>
      </c>
      <c r="E671" t="str">
        <f>VLOOKUP(A671,[1]Sheet1!$A:$D,3,FALSE)</f>
        <v>DISCOVERY MR750</v>
      </c>
      <c r="F671">
        <f>VLOOKUP(A671,[1]Sheet1!$A:$D,4,FALSE)</f>
        <v>3</v>
      </c>
      <c r="G671">
        <f>VLOOKUP(A671,[2]Sheet1!$A:$D,2,FALSE)</f>
        <v>-1</v>
      </c>
      <c r="H671">
        <f>VLOOKUP(A671,[2]Sheet1!$A:$D,3,FALSE)</f>
        <v>-1</v>
      </c>
      <c r="I671">
        <f>VLOOKUP(A671,[2]Sheet1!$A:$D,4,FALSE)</f>
        <v>4</v>
      </c>
      <c r="J671" t="str">
        <f>VLOOKUP(A671,[3]Sheet1!$A:$C,2,FALSE)</f>
        <v>OBS1</v>
      </c>
      <c r="K671" t="str">
        <f>VLOOKUP(A671,[3]Sheet1!$A:$C,3,FALSE)</f>
        <v>T2</v>
      </c>
    </row>
    <row r="672" spans="1:11" x14ac:dyDescent="0.25">
      <c r="A672" s="2" t="s">
        <v>675</v>
      </c>
      <c r="B672">
        <v>48</v>
      </c>
      <c r="C672" t="s">
        <v>4</v>
      </c>
      <c r="D672" t="str">
        <f>VLOOKUP(A672,[1]Sheet1!$A:$D,2,FALSE)</f>
        <v>SIEMENS</v>
      </c>
      <c r="E672" t="str">
        <f>VLOOKUP(A672,[1]Sheet1!$A:$D,3,FALSE)</f>
        <v>Harmony</v>
      </c>
      <c r="F672">
        <f>VLOOKUP(A672,[1]Sheet1!$A:$D,4,FALSE)</f>
        <v>1</v>
      </c>
      <c r="G672">
        <f>VLOOKUP(A672,[2]Sheet1!$A:$D,2,FALSE)</f>
        <v>0</v>
      </c>
      <c r="H672">
        <f>VLOOKUP(A672,[2]Sheet1!$A:$D,3,FALSE)</f>
        <v>-1</v>
      </c>
      <c r="I672">
        <f>VLOOKUP(A672,[2]Sheet1!$A:$D,4,FALSE)</f>
        <v>4</v>
      </c>
      <c r="J672" t="str">
        <f>VLOOKUP(A672,[3]Sheet1!$A:$C,2,FALSE)</f>
        <v>OBS1</v>
      </c>
      <c r="K672" t="str">
        <f>VLOOKUP(A672,[3]Sheet1!$A:$C,3,FALSE)</f>
        <v>FLAIR</v>
      </c>
    </row>
    <row r="673" spans="1:11" x14ac:dyDescent="0.25">
      <c r="A673" s="2" t="s">
        <v>676</v>
      </c>
      <c r="B673">
        <v>76</v>
      </c>
      <c r="C673" t="s">
        <v>4</v>
      </c>
      <c r="D673" t="str">
        <f>VLOOKUP(A673,[1]Sheet1!$A:$D,2,FALSE)</f>
        <v>GE MEDICAL SYSTEMS</v>
      </c>
      <c r="E673" t="str">
        <f>VLOOKUP(A673,[1]Sheet1!$A:$D,3,FALSE)</f>
        <v>DISCOVERY MR750</v>
      </c>
      <c r="F673">
        <f>VLOOKUP(A673,[1]Sheet1!$A:$D,4,FALSE)</f>
        <v>3</v>
      </c>
      <c r="G673">
        <f>VLOOKUP(A673,[2]Sheet1!$A:$D,2,FALSE)</f>
        <v>0</v>
      </c>
      <c r="H673">
        <f>VLOOKUP(A673,[2]Sheet1!$A:$D,3,FALSE)</f>
        <v>-1</v>
      </c>
      <c r="I673">
        <f>VLOOKUP(A673,[2]Sheet1!$A:$D,4,FALSE)</f>
        <v>4</v>
      </c>
      <c r="J673" t="str">
        <f>VLOOKUP(A673,[3]Sheet1!$A:$C,2,FALSE)</f>
        <v>AUTO</v>
      </c>
      <c r="K673" t="str">
        <f>VLOOKUP(A673,[3]Sheet1!$A:$C,3,FALSE)</f>
        <v>ALL</v>
      </c>
    </row>
    <row r="674" spans="1:11" x14ac:dyDescent="0.25">
      <c r="A674" s="2" t="s">
        <v>677</v>
      </c>
      <c r="B674">
        <v>40</v>
      </c>
      <c r="C674" t="s">
        <v>4</v>
      </c>
      <c r="D674" t="str">
        <f>VLOOKUP(A674,[1]Sheet1!$A:$D,2,FALSE)</f>
        <v>SIEMENS</v>
      </c>
      <c r="E674" t="str">
        <f>VLOOKUP(A674,[1]Sheet1!$A:$D,3,FALSE)</f>
        <v>Avanto</v>
      </c>
      <c r="F674">
        <f>VLOOKUP(A674,[1]Sheet1!$A:$D,4,FALSE)</f>
        <v>1.5</v>
      </c>
      <c r="G674">
        <f>VLOOKUP(A674,[2]Sheet1!$A:$D,2,FALSE)</f>
        <v>-1</v>
      </c>
      <c r="H674">
        <f>VLOOKUP(A674,[2]Sheet1!$A:$D,3,FALSE)</f>
        <v>-1</v>
      </c>
      <c r="I674">
        <f>VLOOKUP(A674,[2]Sheet1!$A:$D,4,FALSE)</f>
        <v>4</v>
      </c>
      <c r="J674" t="str">
        <f>VLOOKUP(A674,[3]Sheet1!$A:$C,2,FALSE)</f>
        <v>OBS1</v>
      </c>
      <c r="K674" t="str">
        <f>VLOOKUP(A674,[3]Sheet1!$A:$C,3,FALSE)</f>
        <v>T2</v>
      </c>
    </row>
    <row r="675" spans="1:11" x14ac:dyDescent="0.25">
      <c r="A675" s="2" t="s">
        <v>678</v>
      </c>
      <c r="B675">
        <v>77</v>
      </c>
      <c r="C675" t="s">
        <v>4</v>
      </c>
      <c r="D675" t="str">
        <f>VLOOKUP(A675,[1]Sheet1!$A:$D,2,FALSE)</f>
        <v>GE MEDICAL SYSTEMS</v>
      </c>
      <c r="E675" t="str">
        <f>VLOOKUP(A675,[1]Sheet1!$A:$D,3,FALSE)</f>
        <v>DISCOVERY MR450</v>
      </c>
      <c r="F675">
        <f>VLOOKUP(A675,[1]Sheet1!$A:$D,4,FALSE)</f>
        <v>1.5</v>
      </c>
      <c r="G675">
        <f>VLOOKUP(A675,[2]Sheet1!$A:$D,2,FALSE)</f>
        <v>-1</v>
      </c>
      <c r="H675">
        <f>VLOOKUP(A675,[2]Sheet1!$A:$D,3,FALSE)</f>
        <v>-1</v>
      </c>
      <c r="I675">
        <f>VLOOKUP(A675,[2]Sheet1!$A:$D,4,FALSE)</f>
        <v>4</v>
      </c>
      <c r="J675" t="str">
        <f>VLOOKUP(A675,[3]Sheet1!$A:$C,2,FALSE)</f>
        <v>AUTO</v>
      </c>
      <c r="K675" t="str">
        <f>VLOOKUP(A675,[3]Sheet1!$A:$C,3,FALSE)</f>
        <v>ALL</v>
      </c>
    </row>
    <row r="676" spans="1:11" x14ac:dyDescent="0.25">
      <c r="A676" s="2" t="s">
        <v>679</v>
      </c>
      <c r="B676">
        <v>74</v>
      </c>
      <c r="C676" t="s">
        <v>4</v>
      </c>
      <c r="D676" t="str">
        <f>VLOOKUP(A676,[1]Sheet1!$A:$D,2,FALSE)</f>
        <v>Philips Medical Systems</v>
      </c>
      <c r="E676" t="str">
        <f>VLOOKUP(A676,[1]Sheet1!$A:$D,3,FALSE)</f>
        <v>Achieva</v>
      </c>
      <c r="F676">
        <f>VLOOKUP(A676,[1]Sheet1!$A:$D,4,FALSE)</f>
        <v>1.5</v>
      </c>
      <c r="G676">
        <f>VLOOKUP(A676,[2]Sheet1!$A:$D,2,FALSE)</f>
        <v>0</v>
      </c>
      <c r="H676">
        <f>VLOOKUP(A676,[2]Sheet1!$A:$D,3,FALSE)</f>
        <v>0</v>
      </c>
      <c r="I676">
        <f>VLOOKUP(A676,[2]Sheet1!$A:$D,4,FALSE)</f>
        <v>2</v>
      </c>
      <c r="J676" t="str">
        <f>VLOOKUP(A676,[3]Sheet1!$A:$C,2,FALSE)</f>
        <v>OBS1</v>
      </c>
      <c r="K676" t="str">
        <f>VLOOKUP(A676,[3]Sheet1!$A:$C,3,FALSE)</f>
        <v>FLAIR</v>
      </c>
    </row>
    <row r="677" spans="1:11" x14ac:dyDescent="0.25">
      <c r="A677" s="2" t="s">
        <v>680</v>
      </c>
      <c r="B677">
        <v>71</v>
      </c>
      <c r="C677" t="s">
        <v>4</v>
      </c>
      <c r="D677" t="str">
        <f>VLOOKUP(A677,[1]Sheet1!$A:$D,2,FALSE)</f>
        <v>Philips Medical Systems</v>
      </c>
      <c r="E677" t="str">
        <f>VLOOKUP(A677,[1]Sheet1!$A:$D,3,FALSE)</f>
        <v>Achieva</v>
      </c>
      <c r="F677">
        <f>VLOOKUP(A677,[1]Sheet1!$A:$D,4,FALSE)</f>
        <v>1.5</v>
      </c>
      <c r="G677">
        <f>VLOOKUP(A677,[2]Sheet1!$A:$D,2,FALSE)</f>
        <v>0</v>
      </c>
      <c r="H677">
        <f>VLOOKUP(A677,[2]Sheet1!$A:$D,3,FALSE)</f>
        <v>-1</v>
      </c>
      <c r="I677">
        <f>VLOOKUP(A677,[2]Sheet1!$A:$D,4,FALSE)</f>
        <v>4</v>
      </c>
      <c r="J677" t="str">
        <f>VLOOKUP(A677,[3]Sheet1!$A:$C,2,FALSE)</f>
        <v>OBS1</v>
      </c>
      <c r="K677" t="str">
        <f>VLOOKUP(A677,[3]Sheet1!$A:$C,3,FALSE)</f>
        <v>T2</v>
      </c>
    </row>
    <row r="678" spans="1:11" x14ac:dyDescent="0.25">
      <c r="A678" s="2" t="s">
        <v>681</v>
      </c>
      <c r="B678">
        <v>70</v>
      </c>
      <c r="C678" t="s">
        <v>7</v>
      </c>
      <c r="D678" t="str">
        <f>VLOOKUP(A678,[1]Sheet1!$A:$D,2,FALSE)</f>
        <v>Philips Medical Systems</v>
      </c>
      <c r="E678" t="str">
        <f>VLOOKUP(A678,[1]Sheet1!$A:$D,3,FALSE)</f>
        <v>Achieva</v>
      </c>
      <c r="F678">
        <f>VLOOKUP(A678,[1]Sheet1!$A:$D,4,FALSE)</f>
        <v>1.5</v>
      </c>
      <c r="G678">
        <f>VLOOKUP(A678,[2]Sheet1!$A:$D,2,FALSE)</f>
        <v>0</v>
      </c>
      <c r="H678">
        <f>VLOOKUP(A678,[2]Sheet1!$A:$D,3,FALSE)</f>
        <v>-1</v>
      </c>
      <c r="I678">
        <f>VLOOKUP(A678,[2]Sheet1!$A:$D,4,FALSE)</f>
        <v>4</v>
      </c>
      <c r="J678" t="str">
        <f>VLOOKUP(A678,[3]Sheet1!$A:$C,2,FALSE)</f>
        <v>AUTO</v>
      </c>
      <c r="K678" t="str">
        <f>VLOOKUP(A678,[3]Sheet1!$A:$C,3,FALSE)</f>
        <v>ALL</v>
      </c>
    </row>
    <row r="679" spans="1:11" x14ac:dyDescent="0.25">
      <c r="A679" s="2" t="s">
        <v>682</v>
      </c>
      <c r="B679">
        <v>46</v>
      </c>
      <c r="C679" t="s">
        <v>4</v>
      </c>
      <c r="D679" t="str">
        <f>VLOOKUP(A679,[1]Sheet1!$A:$D,2,FALSE)</f>
        <v>Philips Medical Systems</v>
      </c>
      <c r="E679" t="str">
        <f>VLOOKUP(A679,[1]Sheet1!$A:$D,3,FALSE)</f>
        <v>Achieva</v>
      </c>
      <c r="F679">
        <f>VLOOKUP(A679,[1]Sheet1!$A:$D,4,FALSE)</f>
        <v>1.5</v>
      </c>
      <c r="G679">
        <f>VLOOKUP(A679,[2]Sheet1!$A:$D,2,FALSE)</f>
        <v>-1</v>
      </c>
      <c r="H679">
        <f>VLOOKUP(A679,[2]Sheet1!$A:$D,3,FALSE)</f>
        <v>-1</v>
      </c>
      <c r="I679">
        <f>VLOOKUP(A679,[2]Sheet1!$A:$D,4,FALSE)</f>
        <v>4</v>
      </c>
      <c r="J679" t="str">
        <f>VLOOKUP(A679,[3]Sheet1!$A:$C,2,FALSE)</f>
        <v>AUTO</v>
      </c>
      <c r="K679" t="str">
        <f>VLOOKUP(A679,[3]Sheet1!$A:$C,3,FALSE)</f>
        <v>ALL</v>
      </c>
    </row>
    <row r="680" spans="1:11" x14ac:dyDescent="0.25">
      <c r="A680" s="2" t="s">
        <v>683</v>
      </c>
      <c r="B680">
        <v>53</v>
      </c>
      <c r="C680" t="s">
        <v>4</v>
      </c>
      <c r="D680" t="str">
        <f>VLOOKUP(A680,[1]Sheet1!$A:$D,2,FALSE)</f>
        <v>Philips Medical Systems</v>
      </c>
      <c r="E680" t="str">
        <f>VLOOKUP(A680,[1]Sheet1!$A:$D,3,FALSE)</f>
        <v>Achieva</v>
      </c>
      <c r="F680">
        <f>VLOOKUP(A680,[1]Sheet1!$A:$D,4,FALSE)</f>
        <v>1.5</v>
      </c>
      <c r="G680">
        <f>VLOOKUP(A680,[2]Sheet1!$A:$D,2,FALSE)</f>
        <v>-1</v>
      </c>
      <c r="H680">
        <f>VLOOKUP(A680,[2]Sheet1!$A:$D,3,FALSE)</f>
        <v>-1</v>
      </c>
      <c r="I680">
        <f>VLOOKUP(A680,[2]Sheet1!$A:$D,4,FALSE)</f>
        <v>4</v>
      </c>
      <c r="J680" t="str">
        <f>VLOOKUP(A680,[3]Sheet1!$A:$C,2,FALSE)</f>
        <v>AUTO</v>
      </c>
      <c r="K680" t="str">
        <f>VLOOKUP(A680,[3]Sheet1!$A:$C,3,FALSE)</f>
        <v>ALL</v>
      </c>
    </row>
    <row r="681" spans="1:11" x14ac:dyDescent="0.25">
      <c r="A681" s="2" t="s">
        <v>684</v>
      </c>
      <c r="B681">
        <v>61</v>
      </c>
      <c r="C681" t="s">
        <v>7</v>
      </c>
      <c r="D681" t="str">
        <f>VLOOKUP(A681,[1]Sheet1!$A:$D,2,FALSE)</f>
        <v>Philips Medical Systems</v>
      </c>
      <c r="E681" t="str">
        <f>VLOOKUP(A681,[1]Sheet1!$A:$D,3,FALSE)</f>
        <v>Intera</v>
      </c>
      <c r="F681">
        <f>VLOOKUP(A681,[1]Sheet1!$A:$D,4,FALSE)</f>
        <v>1.5</v>
      </c>
      <c r="G681">
        <f>VLOOKUP(A681,[2]Sheet1!$A:$D,2,FALSE)</f>
        <v>-1</v>
      </c>
      <c r="H681">
        <f>VLOOKUP(A681,[2]Sheet1!$A:$D,3,FALSE)</f>
        <v>-1</v>
      </c>
      <c r="I681">
        <f>VLOOKUP(A681,[2]Sheet1!$A:$D,4,FALSE)</f>
        <v>4</v>
      </c>
      <c r="J681" t="str">
        <f>VLOOKUP(A681,[3]Sheet1!$A:$C,2,FALSE)</f>
        <v>AUTO</v>
      </c>
      <c r="K681" t="str">
        <f>VLOOKUP(A681,[3]Sheet1!$A:$C,3,FALSE)</f>
        <v>ALL</v>
      </c>
    </row>
    <row r="682" spans="1:11" x14ac:dyDescent="0.25">
      <c r="A682" s="2" t="s">
        <v>685</v>
      </c>
      <c r="B682">
        <v>-1</v>
      </c>
      <c r="C682" t="s">
        <v>4</v>
      </c>
      <c r="D682" t="str">
        <f>VLOOKUP(A682,[1]Sheet1!$A:$D,2,FALSE)</f>
        <v>GE MEDICAL SYSTEMS</v>
      </c>
      <c r="E682" t="str">
        <f>VLOOKUP(A682,[1]Sheet1!$A:$D,3,FALSE)</f>
        <v>Optima MR450w</v>
      </c>
      <c r="F682">
        <f>VLOOKUP(A682,[1]Sheet1!$A:$D,4,FALSE)</f>
        <v>1.5</v>
      </c>
      <c r="G682">
        <f>VLOOKUP(A682,[2]Sheet1!$A:$D,2,FALSE)</f>
        <v>0</v>
      </c>
      <c r="H682">
        <f>VLOOKUP(A682,[2]Sheet1!$A:$D,3,FALSE)</f>
        <v>-1</v>
      </c>
      <c r="I682">
        <f>VLOOKUP(A682,[2]Sheet1!$A:$D,4,FALSE)</f>
        <v>-1</v>
      </c>
      <c r="J682" t="str">
        <f>VLOOKUP(A682,[3]Sheet1!$A:$C,2,FALSE)</f>
        <v>AUTO</v>
      </c>
      <c r="K682" t="str">
        <f>VLOOKUP(A682,[3]Sheet1!$A:$C,3,FALSE)</f>
        <v>ALL</v>
      </c>
    </row>
    <row r="683" spans="1:11" x14ac:dyDescent="0.25">
      <c r="A683" s="2" t="s">
        <v>686</v>
      </c>
      <c r="B683">
        <v>52</v>
      </c>
      <c r="C683" t="s">
        <v>4</v>
      </c>
      <c r="D683" t="str">
        <f>VLOOKUP(A683,[1]Sheet1!$A:$D,2,FALSE)</f>
        <v>GE MEDICAL SYSTEMS</v>
      </c>
      <c r="E683" t="str">
        <f>VLOOKUP(A683,[1]Sheet1!$A:$D,3,FALSE)</f>
        <v>DISCOVERY MR450</v>
      </c>
      <c r="F683">
        <f>VLOOKUP(A683,[1]Sheet1!$A:$D,4,FALSE)</f>
        <v>1.5</v>
      </c>
      <c r="G683">
        <f>VLOOKUP(A683,[2]Sheet1!$A:$D,2,FALSE)</f>
        <v>-1</v>
      </c>
      <c r="H683">
        <f>VLOOKUP(A683,[2]Sheet1!$A:$D,3,FALSE)</f>
        <v>-1</v>
      </c>
      <c r="I683">
        <f>VLOOKUP(A683,[2]Sheet1!$A:$D,4,FALSE)</f>
        <v>4</v>
      </c>
      <c r="J683" t="str">
        <f>VLOOKUP(A683,[3]Sheet1!$A:$C,2,FALSE)</f>
        <v>AUTO</v>
      </c>
      <c r="K683" t="str">
        <f>VLOOKUP(A683,[3]Sheet1!$A:$C,3,FALSE)</f>
        <v>ALL</v>
      </c>
    </row>
    <row r="684" spans="1:11" x14ac:dyDescent="0.25">
      <c r="A684" s="2" t="s">
        <v>687</v>
      </c>
      <c r="B684">
        <v>31</v>
      </c>
      <c r="C684" t="s">
        <v>4</v>
      </c>
      <c r="D684" t="str">
        <f>VLOOKUP(A684,[1]Sheet1!$A:$D,2,FALSE)</f>
        <v>GE MEDICAL SYSTEMS</v>
      </c>
      <c r="E684" t="str">
        <f>VLOOKUP(A684,[1]Sheet1!$A:$D,3,FALSE)</f>
        <v>GENESIS_SIGNA</v>
      </c>
      <c r="F684">
        <f>VLOOKUP(A684,[1]Sheet1!$A:$D,4,FALSE)</f>
        <v>1</v>
      </c>
      <c r="G684">
        <f>VLOOKUP(A684,[2]Sheet1!$A:$D,2,FALSE)</f>
        <v>-1</v>
      </c>
      <c r="H684">
        <f>VLOOKUP(A684,[2]Sheet1!$A:$D,3,FALSE)</f>
        <v>0</v>
      </c>
      <c r="I684">
        <f>VLOOKUP(A684,[2]Sheet1!$A:$D,4,FALSE)</f>
        <v>3</v>
      </c>
      <c r="J684" t="str">
        <f>VLOOKUP(A684,[3]Sheet1!$A:$C,2,FALSE)</f>
        <v>AUTO</v>
      </c>
      <c r="K684" t="str">
        <f>VLOOKUP(A684,[3]Sheet1!$A:$C,3,FALSE)</f>
        <v>ALL</v>
      </c>
    </row>
    <row r="685" spans="1:11" x14ac:dyDescent="0.25">
      <c r="A685" s="2" t="s">
        <v>688</v>
      </c>
      <c r="B685">
        <v>43</v>
      </c>
      <c r="C685" t="s">
        <v>7</v>
      </c>
      <c r="D685" t="str">
        <f>VLOOKUP(A685,[1]Sheet1!$A:$D,2,FALSE)</f>
        <v>SIEMENS</v>
      </c>
      <c r="E685" t="str">
        <f>VLOOKUP(A685,[1]Sheet1!$A:$D,3,FALSE)</f>
        <v>Harmony</v>
      </c>
      <c r="F685">
        <f>VLOOKUP(A685,[1]Sheet1!$A:$D,4,FALSE)</f>
        <v>1</v>
      </c>
      <c r="G685">
        <f>VLOOKUP(A685,[2]Sheet1!$A:$D,2,FALSE)</f>
        <v>-1</v>
      </c>
      <c r="H685">
        <f>VLOOKUP(A685,[2]Sheet1!$A:$D,3,FALSE)</f>
        <v>-1</v>
      </c>
      <c r="I685">
        <f>VLOOKUP(A685,[2]Sheet1!$A:$D,4,FALSE)</f>
        <v>4</v>
      </c>
      <c r="J685" t="str">
        <f>VLOOKUP(A685,[3]Sheet1!$A:$C,2,FALSE)</f>
        <v>AUTO</v>
      </c>
      <c r="K685" t="str">
        <f>VLOOKUP(A685,[3]Sheet1!$A:$C,3,FALSE)</f>
        <v>ALL</v>
      </c>
    </row>
    <row r="686" spans="1:11" x14ac:dyDescent="0.25">
      <c r="A686" s="2" t="s">
        <v>689</v>
      </c>
      <c r="B686">
        <v>63</v>
      </c>
      <c r="C686" t="s">
        <v>4</v>
      </c>
      <c r="D686" t="str">
        <f>VLOOKUP(A686,[1]Sheet1!$A:$D,2,FALSE)</f>
        <v>SIEMENS</v>
      </c>
      <c r="E686" t="str">
        <f>VLOOKUP(A686,[1]Sheet1!$A:$D,3,FALSE)</f>
        <v>Symphony</v>
      </c>
      <c r="F686">
        <f>VLOOKUP(A686,[1]Sheet1!$A:$D,4,FALSE)</f>
        <v>1.5</v>
      </c>
      <c r="G686">
        <f>VLOOKUP(A686,[2]Sheet1!$A:$D,2,FALSE)</f>
        <v>-1</v>
      </c>
      <c r="H686">
        <f>VLOOKUP(A686,[2]Sheet1!$A:$D,3,FALSE)</f>
        <v>-1</v>
      </c>
      <c r="I686">
        <f>VLOOKUP(A686,[2]Sheet1!$A:$D,4,FALSE)</f>
        <v>4</v>
      </c>
      <c r="J686" t="str">
        <f>VLOOKUP(A686,[3]Sheet1!$A:$C,2,FALSE)</f>
        <v>AUTO</v>
      </c>
      <c r="K686" t="str">
        <f>VLOOKUP(A686,[3]Sheet1!$A:$C,3,FALSE)</f>
        <v>ALL</v>
      </c>
    </row>
    <row r="687" spans="1:11" x14ac:dyDescent="0.25">
      <c r="A687" s="2" t="s">
        <v>690</v>
      </c>
      <c r="B687">
        <v>67</v>
      </c>
      <c r="C687" t="s">
        <v>7</v>
      </c>
      <c r="D687" t="str">
        <f>VLOOKUP(A687,[1]Sheet1!$A:$D,2,FALSE)</f>
        <v>GE MEDICAL SYSTEMS</v>
      </c>
      <c r="E687" t="str">
        <f>VLOOKUP(A687,[1]Sheet1!$A:$D,3,FALSE)</f>
        <v>DISCOVERY MR450</v>
      </c>
      <c r="F687">
        <f>VLOOKUP(A687,[1]Sheet1!$A:$D,4,FALSE)</f>
        <v>1.5</v>
      </c>
      <c r="G687">
        <f>VLOOKUP(A687,[2]Sheet1!$A:$D,2,FALSE)</f>
        <v>-1</v>
      </c>
      <c r="H687">
        <f>VLOOKUP(A687,[2]Sheet1!$A:$D,3,FALSE)</f>
        <v>-1</v>
      </c>
      <c r="I687">
        <f>VLOOKUP(A687,[2]Sheet1!$A:$D,4,FALSE)</f>
        <v>4</v>
      </c>
      <c r="J687" t="str">
        <f>VLOOKUP(A687,[3]Sheet1!$A:$C,2,FALSE)</f>
        <v>OBS1</v>
      </c>
      <c r="K687" t="str">
        <f>VLOOKUP(A687,[3]Sheet1!$A:$C,3,FALSE)</f>
        <v>T2</v>
      </c>
    </row>
    <row r="688" spans="1:11" x14ac:dyDescent="0.25">
      <c r="A688" s="2" t="s">
        <v>691</v>
      </c>
      <c r="B688">
        <v>62</v>
      </c>
      <c r="C688" t="s">
        <v>7</v>
      </c>
      <c r="D688" t="str">
        <f>VLOOKUP(A688,[1]Sheet1!$A:$D,2,FALSE)</f>
        <v>Philips Medical Systems</v>
      </c>
      <c r="E688" t="str">
        <f>VLOOKUP(A688,[1]Sheet1!$A:$D,3,FALSE)</f>
        <v>Achieva</v>
      </c>
      <c r="F688">
        <f>VLOOKUP(A688,[1]Sheet1!$A:$D,4,FALSE)</f>
        <v>1.5</v>
      </c>
      <c r="G688">
        <f>VLOOKUP(A688,[2]Sheet1!$A:$D,2,FALSE)</f>
        <v>0</v>
      </c>
      <c r="H688">
        <f>VLOOKUP(A688,[2]Sheet1!$A:$D,3,FALSE)</f>
        <v>-1</v>
      </c>
      <c r="I688">
        <f>VLOOKUP(A688,[2]Sheet1!$A:$D,4,FALSE)</f>
        <v>4</v>
      </c>
      <c r="J688" t="str">
        <f>VLOOKUP(A688,[3]Sheet1!$A:$C,2,FALSE)</f>
        <v>OBS1</v>
      </c>
      <c r="K688" t="str">
        <f>VLOOKUP(A688,[3]Sheet1!$A:$C,3,FALSE)</f>
        <v>T2</v>
      </c>
    </row>
    <row r="689" spans="1:11" x14ac:dyDescent="0.25">
      <c r="A689" s="2" t="s">
        <v>692</v>
      </c>
      <c r="B689">
        <v>22</v>
      </c>
      <c r="C689" t="s">
        <v>7</v>
      </c>
      <c r="D689" t="str">
        <f>VLOOKUP(A689,[1]Sheet1!$A:$D,2,FALSE)</f>
        <v>SIEMENS</v>
      </c>
      <c r="E689" t="str">
        <f>VLOOKUP(A689,[1]Sheet1!$A:$D,3,FALSE)</f>
        <v>Harmony</v>
      </c>
      <c r="F689">
        <f>VLOOKUP(A689,[1]Sheet1!$A:$D,4,FALSE)</f>
        <v>1</v>
      </c>
      <c r="G689">
        <f>VLOOKUP(A689,[2]Sheet1!$A:$D,2,FALSE)</f>
        <v>1</v>
      </c>
      <c r="H689">
        <f>VLOOKUP(A689,[2]Sheet1!$A:$D,3,FALSE)</f>
        <v>0</v>
      </c>
      <c r="I689">
        <f>VLOOKUP(A689,[2]Sheet1!$A:$D,4,FALSE)</f>
        <v>2</v>
      </c>
      <c r="J689" t="str">
        <f>VLOOKUP(A689,[3]Sheet1!$A:$C,2,FALSE)</f>
        <v>OBS2</v>
      </c>
      <c r="K689" t="str">
        <f>VLOOKUP(A689,[3]Sheet1!$A:$C,3,FALSE)</f>
        <v>FLAIR</v>
      </c>
    </row>
    <row r="690" spans="1:11" x14ac:dyDescent="0.25">
      <c r="A690" s="2" t="s">
        <v>693</v>
      </c>
      <c r="B690">
        <v>57</v>
      </c>
      <c r="C690" t="s">
        <v>4</v>
      </c>
      <c r="D690" t="str">
        <f>VLOOKUP(A690,[1]Sheet1!$A:$D,2,FALSE)</f>
        <v>SIEMENS</v>
      </c>
      <c r="E690" t="str">
        <f>VLOOKUP(A690,[1]Sheet1!$A:$D,3,FALSE)</f>
        <v>Symphony</v>
      </c>
      <c r="F690">
        <f>VLOOKUP(A690,[1]Sheet1!$A:$D,4,FALSE)</f>
        <v>1.5</v>
      </c>
      <c r="G690">
        <f>VLOOKUP(A690,[2]Sheet1!$A:$D,2,FALSE)</f>
        <v>1</v>
      </c>
      <c r="H690">
        <f>VLOOKUP(A690,[2]Sheet1!$A:$D,3,FALSE)</f>
        <v>1</v>
      </c>
      <c r="I690">
        <f>VLOOKUP(A690,[2]Sheet1!$A:$D,4,FALSE)</f>
        <v>2</v>
      </c>
      <c r="J690" t="str">
        <f>VLOOKUP(A690,[3]Sheet1!$A:$C,2,FALSE)</f>
        <v>OBS2</v>
      </c>
      <c r="K690" t="str">
        <f>VLOOKUP(A690,[3]Sheet1!$A:$C,3,FALSE)</f>
        <v>FLAIR</v>
      </c>
    </row>
    <row r="691" spans="1:11" x14ac:dyDescent="0.25">
      <c r="A691" s="2" t="s">
        <v>694</v>
      </c>
      <c r="B691">
        <v>64</v>
      </c>
      <c r="C691" t="s">
        <v>7</v>
      </c>
      <c r="D691" t="str">
        <f>VLOOKUP(A691,[1]Sheet1!$A:$D,2,FALSE)</f>
        <v>Philips Medical Systems</v>
      </c>
      <c r="E691" t="str">
        <f>VLOOKUP(A691,[1]Sheet1!$A:$D,3,FALSE)</f>
        <v>Intera</v>
      </c>
      <c r="F691">
        <f>VLOOKUP(A691,[1]Sheet1!$A:$D,4,FALSE)</f>
        <v>1.5</v>
      </c>
      <c r="G691">
        <f>VLOOKUP(A691,[2]Sheet1!$A:$D,2,FALSE)</f>
        <v>-1</v>
      </c>
      <c r="H691">
        <f>VLOOKUP(A691,[2]Sheet1!$A:$D,3,FALSE)</f>
        <v>-1</v>
      </c>
      <c r="I691">
        <f>VLOOKUP(A691,[2]Sheet1!$A:$D,4,FALSE)</f>
        <v>4</v>
      </c>
      <c r="J691" t="str">
        <f>VLOOKUP(A691,[3]Sheet1!$A:$C,2,FALSE)</f>
        <v>AUTO</v>
      </c>
      <c r="K691" t="str">
        <f>VLOOKUP(A691,[3]Sheet1!$A:$C,3,FALSE)</f>
        <v>ALL</v>
      </c>
    </row>
    <row r="692" spans="1:11" x14ac:dyDescent="0.25">
      <c r="A692" s="2" t="s">
        <v>695</v>
      </c>
      <c r="B692">
        <v>65</v>
      </c>
      <c r="C692" t="s">
        <v>4</v>
      </c>
      <c r="D692" t="str">
        <f>VLOOKUP(A692,[1]Sheet1!$A:$D,2,FALSE)</f>
        <v>GE MEDICAL SYSTEMS</v>
      </c>
      <c r="E692" t="str">
        <f>VLOOKUP(A692,[1]Sheet1!$A:$D,3,FALSE)</f>
        <v>DISCOVERY MR450</v>
      </c>
      <c r="F692">
        <f>VLOOKUP(A692,[1]Sheet1!$A:$D,4,FALSE)</f>
        <v>1.5</v>
      </c>
      <c r="G692">
        <f>VLOOKUP(A692,[2]Sheet1!$A:$D,2,FALSE)</f>
        <v>0</v>
      </c>
      <c r="H692">
        <f>VLOOKUP(A692,[2]Sheet1!$A:$D,3,FALSE)</f>
        <v>-1</v>
      </c>
      <c r="I692">
        <f>VLOOKUP(A692,[2]Sheet1!$A:$D,4,FALSE)</f>
        <v>4</v>
      </c>
      <c r="J692" t="str">
        <f>VLOOKUP(A692,[3]Sheet1!$A:$C,2,FALSE)</f>
        <v>OBS1</v>
      </c>
      <c r="K692" t="str">
        <f>VLOOKUP(A692,[3]Sheet1!$A:$C,3,FALSE)</f>
        <v>T2</v>
      </c>
    </row>
    <row r="693" spans="1:11" x14ac:dyDescent="0.25">
      <c r="A693" s="2" t="s">
        <v>696</v>
      </c>
      <c r="B693">
        <v>54</v>
      </c>
      <c r="C693" t="s">
        <v>7</v>
      </c>
      <c r="D693" t="str">
        <f>VLOOKUP(A693,[1]Sheet1!$A:$D,2,FALSE)</f>
        <v>SIEMENS</v>
      </c>
      <c r="E693" t="str">
        <f>VLOOKUP(A693,[1]Sheet1!$A:$D,3,FALSE)</f>
        <v>Avanto</v>
      </c>
      <c r="F693">
        <f>VLOOKUP(A693,[1]Sheet1!$A:$D,4,FALSE)</f>
        <v>1.5</v>
      </c>
      <c r="G693">
        <f>VLOOKUP(A693,[2]Sheet1!$A:$D,2,FALSE)</f>
        <v>0</v>
      </c>
      <c r="H693">
        <f>VLOOKUP(A693,[2]Sheet1!$A:$D,3,FALSE)</f>
        <v>0</v>
      </c>
      <c r="I693">
        <f>VLOOKUP(A693,[2]Sheet1!$A:$D,4,FALSE)</f>
        <v>4</v>
      </c>
      <c r="J693" t="str">
        <f>VLOOKUP(A693,[3]Sheet1!$A:$C,2,FALSE)</f>
        <v>OBS1</v>
      </c>
      <c r="K693" t="str">
        <f>VLOOKUP(A693,[3]Sheet1!$A:$C,3,FALSE)</f>
        <v>T2</v>
      </c>
    </row>
    <row r="694" spans="1:11" x14ac:dyDescent="0.25">
      <c r="A694" s="2" t="s">
        <v>697</v>
      </c>
      <c r="B694">
        <v>53</v>
      </c>
      <c r="C694" t="s">
        <v>4</v>
      </c>
      <c r="D694" t="str">
        <f>VLOOKUP(A694,[1]Sheet1!$A:$D,2,FALSE)</f>
        <v>GE MEDICAL SYSTEMS</v>
      </c>
      <c r="E694" t="str">
        <f>VLOOKUP(A694,[1]Sheet1!$A:$D,3,FALSE)</f>
        <v>DISCOVERY MR450</v>
      </c>
      <c r="F694">
        <f>VLOOKUP(A694,[1]Sheet1!$A:$D,4,FALSE)</f>
        <v>1.5</v>
      </c>
      <c r="G694">
        <f>VLOOKUP(A694,[2]Sheet1!$A:$D,2,FALSE)</f>
        <v>0</v>
      </c>
      <c r="H694">
        <f>VLOOKUP(A694,[2]Sheet1!$A:$D,3,FALSE)</f>
        <v>-1</v>
      </c>
      <c r="I694">
        <f>VLOOKUP(A694,[2]Sheet1!$A:$D,4,FALSE)</f>
        <v>4</v>
      </c>
      <c r="J694" t="str">
        <f>VLOOKUP(A694,[3]Sheet1!$A:$C,2,FALSE)</f>
        <v>OBS1</v>
      </c>
      <c r="K694" t="str">
        <f>VLOOKUP(A694,[3]Sheet1!$A:$C,3,FALSE)</f>
        <v>T2</v>
      </c>
    </row>
    <row r="695" spans="1:11" x14ac:dyDescent="0.25">
      <c r="A695" s="2" t="s">
        <v>698</v>
      </c>
      <c r="B695">
        <v>62</v>
      </c>
      <c r="C695" t="s">
        <v>4</v>
      </c>
      <c r="D695" t="str">
        <f>VLOOKUP(A695,[1]Sheet1!$A:$D,2,FALSE)</f>
        <v>SIEMENS</v>
      </c>
      <c r="E695" t="str">
        <f>VLOOKUP(A695,[1]Sheet1!$A:$D,3,FALSE)</f>
        <v>Aera</v>
      </c>
      <c r="F695">
        <f>VLOOKUP(A695,[1]Sheet1!$A:$D,4,FALSE)</f>
        <v>1.5</v>
      </c>
      <c r="G695">
        <f>VLOOKUP(A695,[2]Sheet1!$A:$D,2,FALSE)</f>
        <v>0</v>
      </c>
      <c r="H695">
        <f>VLOOKUP(A695,[2]Sheet1!$A:$D,3,FALSE)</f>
        <v>-1</v>
      </c>
      <c r="I695">
        <f>VLOOKUP(A695,[2]Sheet1!$A:$D,4,FALSE)</f>
        <v>4</v>
      </c>
      <c r="J695" t="str">
        <f>VLOOKUP(A695,[3]Sheet1!$A:$C,2,FALSE)</f>
        <v>OBS1</v>
      </c>
      <c r="K695" t="str">
        <f>VLOOKUP(A695,[3]Sheet1!$A:$C,3,FALSE)</f>
        <v>T2</v>
      </c>
    </row>
    <row r="696" spans="1:11" x14ac:dyDescent="0.25">
      <c r="A696" s="2" t="s">
        <v>699</v>
      </c>
      <c r="B696">
        <v>50</v>
      </c>
      <c r="C696" t="s">
        <v>7</v>
      </c>
      <c r="D696" t="str">
        <f>VLOOKUP(A696,[1]Sheet1!$A:$D,2,FALSE)</f>
        <v>GE MEDICAL SYSTEMS</v>
      </c>
      <c r="E696" t="str">
        <f>VLOOKUP(A696,[1]Sheet1!$A:$D,3,FALSE)</f>
        <v>Optima MR450w</v>
      </c>
      <c r="F696">
        <f>VLOOKUP(A696,[1]Sheet1!$A:$D,4,FALSE)</f>
        <v>1.5</v>
      </c>
      <c r="G696">
        <f>VLOOKUP(A696,[2]Sheet1!$A:$D,2,FALSE)</f>
        <v>-1</v>
      </c>
      <c r="H696">
        <f>VLOOKUP(A696,[2]Sheet1!$A:$D,3,FALSE)</f>
        <v>-1</v>
      </c>
      <c r="I696">
        <f>VLOOKUP(A696,[2]Sheet1!$A:$D,4,FALSE)</f>
        <v>4</v>
      </c>
      <c r="J696" t="str">
        <f>VLOOKUP(A696,[3]Sheet1!$A:$C,2,FALSE)</f>
        <v>OBS1</v>
      </c>
      <c r="K696" t="str">
        <f>VLOOKUP(A696,[3]Sheet1!$A:$C,3,FALSE)</f>
        <v>T2</v>
      </c>
    </row>
    <row r="697" spans="1:11" x14ac:dyDescent="0.25">
      <c r="A697" s="2" t="s">
        <v>700</v>
      </c>
      <c r="B697">
        <v>36</v>
      </c>
      <c r="C697" t="s">
        <v>4</v>
      </c>
      <c r="D697" t="str">
        <f>VLOOKUP(A697,[1]Sheet1!$A:$D,2,FALSE)</f>
        <v>Philips Medical Systems</v>
      </c>
      <c r="E697" t="str">
        <f>VLOOKUP(A697,[1]Sheet1!$A:$D,3,FALSE)</f>
        <v>Ingenia</v>
      </c>
      <c r="F697">
        <f>VLOOKUP(A697,[1]Sheet1!$A:$D,4,FALSE)</f>
        <v>1.5</v>
      </c>
      <c r="G697">
        <f>VLOOKUP(A697,[2]Sheet1!$A:$D,2,FALSE)</f>
        <v>-1</v>
      </c>
      <c r="H697">
        <f>VLOOKUP(A697,[2]Sheet1!$A:$D,3,FALSE)</f>
        <v>-1</v>
      </c>
      <c r="I697">
        <f>VLOOKUP(A697,[2]Sheet1!$A:$D,4,FALSE)</f>
        <v>2</v>
      </c>
      <c r="J697" t="str">
        <f>VLOOKUP(A697,[3]Sheet1!$A:$C,2,FALSE)</f>
        <v>AUTO</v>
      </c>
      <c r="K697" t="str">
        <f>VLOOKUP(A697,[3]Sheet1!$A:$C,3,FALSE)</f>
        <v>ALL</v>
      </c>
    </row>
    <row r="698" spans="1:11" x14ac:dyDescent="0.25">
      <c r="A698" s="2" t="s">
        <v>701</v>
      </c>
      <c r="B698">
        <v>-1</v>
      </c>
      <c r="C698" t="s">
        <v>4</v>
      </c>
      <c r="D698" t="str">
        <f>VLOOKUP(A698,[1]Sheet1!$A:$D,2,FALSE)</f>
        <v>SIEMENS</v>
      </c>
      <c r="E698" t="str">
        <f>VLOOKUP(A698,[1]Sheet1!$A:$D,3,FALSE)</f>
        <v>Aera</v>
      </c>
      <c r="F698">
        <f>VLOOKUP(A698,[1]Sheet1!$A:$D,4,FALSE)</f>
        <v>1.5</v>
      </c>
      <c r="G698">
        <f>VLOOKUP(A698,[2]Sheet1!$A:$D,2,FALSE)</f>
        <v>0</v>
      </c>
      <c r="H698">
        <f>VLOOKUP(A698,[2]Sheet1!$A:$D,3,FALSE)</f>
        <v>-1</v>
      </c>
      <c r="I698">
        <f>VLOOKUP(A698,[2]Sheet1!$A:$D,4,FALSE)</f>
        <v>-1</v>
      </c>
      <c r="J698" t="str">
        <f>VLOOKUP(A698,[3]Sheet1!$A:$C,2,FALSE)</f>
        <v>OBS1</v>
      </c>
      <c r="K698" t="str">
        <f>VLOOKUP(A698,[3]Sheet1!$A:$C,3,FALSE)</f>
        <v>T2</v>
      </c>
    </row>
    <row r="699" spans="1:11" x14ac:dyDescent="0.25">
      <c r="A699" s="2" t="s">
        <v>702</v>
      </c>
      <c r="B699">
        <v>-1</v>
      </c>
      <c r="C699" t="s">
        <v>7</v>
      </c>
      <c r="D699" t="str">
        <f>VLOOKUP(A699,[1]Sheet1!$A:$D,2,FALSE)</f>
        <v>GE MEDICAL SYSTEMS</v>
      </c>
      <c r="E699" t="str">
        <f>VLOOKUP(A699,[1]Sheet1!$A:$D,3,FALSE)</f>
        <v>DISCOVERY MR450</v>
      </c>
      <c r="F699">
        <f>VLOOKUP(A699,[1]Sheet1!$A:$D,4,FALSE)</f>
        <v>1.5</v>
      </c>
      <c r="G699">
        <f>VLOOKUP(A699,[2]Sheet1!$A:$D,2,FALSE)</f>
        <v>0</v>
      </c>
      <c r="H699">
        <f>VLOOKUP(A699,[2]Sheet1!$A:$D,3,FALSE)</f>
        <v>-1</v>
      </c>
      <c r="I699">
        <f>VLOOKUP(A699,[2]Sheet1!$A:$D,4,FALSE)</f>
        <v>4</v>
      </c>
      <c r="J699" t="str">
        <f>VLOOKUP(A699,[3]Sheet1!$A:$C,2,FALSE)</f>
        <v>OBS1</v>
      </c>
      <c r="K699" t="str">
        <f>VLOOKUP(A699,[3]Sheet1!$A:$C,3,FALSE)</f>
        <v>T2</v>
      </c>
    </row>
    <row r="700" spans="1:11" x14ac:dyDescent="0.25">
      <c r="A700" s="2" t="s">
        <v>703</v>
      </c>
      <c r="B700">
        <v>-1</v>
      </c>
      <c r="C700" t="s">
        <v>4</v>
      </c>
      <c r="D700" t="str">
        <f>VLOOKUP(A700,[1]Sheet1!$A:$D,2,FALSE)</f>
        <v>Philips Medical Systems</v>
      </c>
      <c r="E700" t="str">
        <f>VLOOKUP(A700,[1]Sheet1!$A:$D,3,FALSE)</f>
        <v>Ingenia</v>
      </c>
      <c r="F700">
        <f>VLOOKUP(A700,[1]Sheet1!$A:$D,4,FALSE)</f>
        <v>1.5</v>
      </c>
      <c r="G700">
        <f>VLOOKUP(A700,[2]Sheet1!$A:$D,2,FALSE)</f>
        <v>0</v>
      </c>
      <c r="H700">
        <f>VLOOKUP(A700,[2]Sheet1!$A:$D,3,FALSE)</f>
        <v>-1</v>
      </c>
      <c r="I700">
        <f>VLOOKUP(A700,[2]Sheet1!$A:$D,4,FALSE)</f>
        <v>-1</v>
      </c>
      <c r="J700" t="str">
        <f>VLOOKUP(A700,[3]Sheet1!$A:$C,2,FALSE)</f>
        <v>OBS1</v>
      </c>
      <c r="K700" t="str">
        <f>VLOOKUP(A700,[3]Sheet1!$A:$C,3,FALSE)</f>
        <v>FLAIR</v>
      </c>
    </row>
    <row r="701" spans="1:11" x14ac:dyDescent="0.25">
      <c r="A701" s="2" t="s">
        <v>704</v>
      </c>
      <c r="B701">
        <v>66</v>
      </c>
      <c r="C701" t="s">
        <v>7</v>
      </c>
      <c r="D701" t="str">
        <f>VLOOKUP(A701,[1]Sheet1!$A:$D,2,FALSE)</f>
        <v>GE MEDICAL SYSTEMS</v>
      </c>
      <c r="E701" t="str">
        <f>VLOOKUP(A701,[1]Sheet1!$A:$D,3,FALSE)</f>
        <v>DISCOVERY MR450</v>
      </c>
      <c r="F701">
        <f>VLOOKUP(A701,[1]Sheet1!$A:$D,4,FALSE)</f>
        <v>1.5</v>
      </c>
      <c r="G701">
        <f>VLOOKUP(A701,[2]Sheet1!$A:$D,2,FALSE)</f>
        <v>1</v>
      </c>
      <c r="H701">
        <f>VLOOKUP(A701,[2]Sheet1!$A:$D,3,FALSE)</f>
        <v>1</v>
      </c>
      <c r="I701">
        <f>VLOOKUP(A701,[2]Sheet1!$A:$D,4,FALSE)</f>
        <v>2</v>
      </c>
      <c r="J701" t="str">
        <f>VLOOKUP(A701,[3]Sheet1!$A:$C,2,FALSE)</f>
        <v>OBS1</v>
      </c>
      <c r="K701" t="str">
        <f>VLOOKUP(A701,[3]Sheet1!$A:$C,3,FALSE)</f>
        <v>FLAIR</v>
      </c>
    </row>
    <row r="702" spans="1:11" x14ac:dyDescent="0.25">
      <c r="A702" s="2" t="s">
        <v>705</v>
      </c>
      <c r="B702">
        <v>55</v>
      </c>
      <c r="C702" t="s">
        <v>4</v>
      </c>
      <c r="D702" t="str">
        <f>VLOOKUP(A702,[1]Sheet1!$A:$D,2,FALSE)</f>
        <v>GE MEDICAL SYSTEMS</v>
      </c>
      <c r="E702" t="str">
        <f>VLOOKUP(A702,[1]Sheet1!$A:$D,3,FALSE)</f>
        <v>Optima MR450w</v>
      </c>
      <c r="F702">
        <f>VLOOKUP(A702,[1]Sheet1!$A:$D,4,FALSE)</f>
        <v>1.5</v>
      </c>
      <c r="G702">
        <f>VLOOKUP(A702,[2]Sheet1!$A:$D,2,FALSE)</f>
        <v>-1</v>
      </c>
      <c r="H702">
        <f>VLOOKUP(A702,[2]Sheet1!$A:$D,3,FALSE)</f>
        <v>-1</v>
      </c>
      <c r="I702">
        <f>VLOOKUP(A702,[2]Sheet1!$A:$D,4,FALSE)</f>
        <v>3</v>
      </c>
      <c r="J702" t="str">
        <f>VLOOKUP(A702,[3]Sheet1!$A:$C,2,FALSE)</f>
        <v>AUTO</v>
      </c>
      <c r="K702" t="str">
        <f>VLOOKUP(A702,[3]Sheet1!$A:$C,3,FALSE)</f>
        <v>ALL</v>
      </c>
    </row>
    <row r="703" spans="1:11" x14ac:dyDescent="0.25">
      <c r="A703" s="2" t="s">
        <v>706</v>
      </c>
      <c r="B703">
        <v>40</v>
      </c>
      <c r="C703" t="s">
        <v>4</v>
      </c>
      <c r="D703" t="str">
        <f>VLOOKUP(A703,[1]Sheet1!$A:$D,2,FALSE)</f>
        <v>GE MEDICAL SYSTEMS</v>
      </c>
      <c r="E703" t="str">
        <f>VLOOKUP(A703,[1]Sheet1!$A:$D,3,FALSE)</f>
        <v>DISCOVERY MR450</v>
      </c>
      <c r="F703">
        <f>VLOOKUP(A703,[1]Sheet1!$A:$D,4,FALSE)</f>
        <v>1.5</v>
      </c>
      <c r="G703">
        <f>VLOOKUP(A703,[2]Sheet1!$A:$D,2,FALSE)</f>
        <v>0</v>
      </c>
      <c r="H703">
        <f>VLOOKUP(A703,[2]Sheet1!$A:$D,3,FALSE)</f>
        <v>-1</v>
      </c>
      <c r="I703">
        <f>VLOOKUP(A703,[2]Sheet1!$A:$D,4,FALSE)</f>
        <v>4</v>
      </c>
      <c r="J703" t="str">
        <f>VLOOKUP(A703,[3]Sheet1!$A:$C,2,FALSE)</f>
        <v>OBS1</v>
      </c>
      <c r="K703" t="str">
        <f>VLOOKUP(A703,[3]Sheet1!$A:$C,3,FALSE)</f>
        <v>T2</v>
      </c>
    </row>
    <row r="704" spans="1:11" x14ac:dyDescent="0.25">
      <c r="A704" s="2" t="s">
        <v>707</v>
      </c>
      <c r="B704">
        <v>73</v>
      </c>
      <c r="C704" t="s">
        <v>4</v>
      </c>
      <c r="D704" t="str">
        <f>VLOOKUP(A704,[1]Sheet1!$A:$D,2,FALSE)</f>
        <v>SIEMENS</v>
      </c>
      <c r="E704" t="str">
        <f>VLOOKUP(A704,[1]Sheet1!$A:$D,3,FALSE)</f>
        <v>Avanto</v>
      </c>
      <c r="F704">
        <f>VLOOKUP(A704,[1]Sheet1!$A:$D,4,FALSE)</f>
        <v>1.5</v>
      </c>
      <c r="G704">
        <f>VLOOKUP(A704,[2]Sheet1!$A:$D,2,FALSE)</f>
        <v>0</v>
      </c>
      <c r="H704">
        <f>VLOOKUP(A704,[2]Sheet1!$A:$D,3,FALSE)</f>
        <v>-1</v>
      </c>
      <c r="I704">
        <f>VLOOKUP(A704,[2]Sheet1!$A:$D,4,FALSE)</f>
        <v>4</v>
      </c>
      <c r="J704" t="str">
        <f>VLOOKUP(A704,[3]Sheet1!$A:$C,2,FALSE)</f>
        <v>AUTO</v>
      </c>
      <c r="K704" t="str">
        <f>VLOOKUP(A704,[3]Sheet1!$A:$C,3,FALSE)</f>
        <v>ALL</v>
      </c>
    </row>
    <row r="705" spans="1:11" x14ac:dyDescent="0.25">
      <c r="A705" s="2" t="s">
        <v>708</v>
      </c>
      <c r="B705">
        <v>28</v>
      </c>
      <c r="C705" t="s">
        <v>4</v>
      </c>
      <c r="D705" t="str">
        <f>VLOOKUP(A705,[1]Sheet1!$A:$D,2,FALSE)</f>
        <v>GE MEDICAL SYSTEMS</v>
      </c>
      <c r="E705" t="str">
        <f>VLOOKUP(A705,[1]Sheet1!$A:$D,3,FALSE)</f>
        <v>SIGNA HDx</v>
      </c>
      <c r="F705">
        <f>VLOOKUP(A705,[1]Sheet1!$A:$D,4,FALSE)</f>
        <v>1.5</v>
      </c>
      <c r="G705">
        <f>VLOOKUP(A705,[2]Sheet1!$A:$D,2,FALSE)</f>
        <v>-1</v>
      </c>
      <c r="H705">
        <f>VLOOKUP(A705,[2]Sheet1!$A:$D,3,FALSE)</f>
        <v>-1</v>
      </c>
      <c r="I705">
        <f>VLOOKUP(A705,[2]Sheet1!$A:$D,4,FALSE)</f>
        <v>4</v>
      </c>
      <c r="J705" t="str">
        <f>VLOOKUP(A705,[3]Sheet1!$A:$C,2,FALSE)</f>
        <v>AUTO</v>
      </c>
      <c r="K705" t="str">
        <f>VLOOKUP(A705,[3]Sheet1!$A:$C,3,FALSE)</f>
        <v>ALL</v>
      </c>
    </row>
    <row r="706" spans="1:11" x14ac:dyDescent="0.25">
      <c r="A706" s="2" t="s">
        <v>709</v>
      </c>
      <c r="B706">
        <v>28</v>
      </c>
      <c r="C706" t="s">
        <v>7</v>
      </c>
      <c r="D706" t="str">
        <f>VLOOKUP(A706,[1]Sheet1!$A:$D,2,FALSE)</f>
        <v>SIEMENS</v>
      </c>
      <c r="E706" t="str">
        <f>VLOOKUP(A706,[1]Sheet1!$A:$D,3,FALSE)</f>
        <v>Avanto</v>
      </c>
      <c r="F706">
        <f>VLOOKUP(A706,[1]Sheet1!$A:$D,4,FALSE)</f>
        <v>1.5</v>
      </c>
      <c r="G706">
        <f>VLOOKUP(A706,[2]Sheet1!$A:$D,2,FALSE)</f>
        <v>1</v>
      </c>
      <c r="H706">
        <f>VLOOKUP(A706,[2]Sheet1!$A:$D,3,FALSE)</f>
        <v>0</v>
      </c>
      <c r="I706">
        <f>VLOOKUP(A706,[2]Sheet1!$A:$D,4,FALSE)</f>
        <v>2</v>
      </c>
      <c r="J706" t="str">
        <f>VLOOKUP(A706,[3]Sheet1!$A:$C,2,FALSE)</f>
        <v>OBS2</v>
      </c>
      <c r="K706" t="str">
        <f>VLOOKUP(A706,[3]Sheet1!$A:$C,3,FALSE)</f>
        <v>FLAIR</v>
      </c>
    </row>
    <row r="707" spans="1:11" x14ac:dyDescent="0.25">
      <c r="A707" s="2" t="s">
        <v>710</v>
      </c>
      <c r="B707">
        <v>69</v>
      </c>
      <c r="C707" t="s">
        <v>4</v>
      </c>
      <c r="D707" t="str">
        <f>VLOOKUP(A707,[1]Sheet1!$A:$D,2,FALSE)</f>
        <v>GE MEDICAL SYSTEMS</v>
      </c>
      <c r="E707" t="str">
        <f>VLOOKUP(A707,[1]Sheet1!$A:$D,3,FALSE)</f>
        <v>GENESIS_SIGNA</v>
      </c>
      <c r="F707">
        <f>VLOOKUP(A707,[1]Sheet1!$A:$D,4,FALSE)</f>
        <v>1</v>
      </c>
      <c r="G707">
        <f>VLOOKUP(A707,[2]Sheet1!$A:$D,2,FALSE)</f>
        <v>0</v>
      </c>
      <c r="H707">
        <f>VLOOKUP(A707,[2]Sheet1!$A:$D,3,FALSE)</f>
        <v>0</v>
      </c>
      <c r="I707">
        <f>VLOOKUP(A707,[2]Sheet1!$A:$D,4,FALSE)</f>
        <v>2</v>
      </c>
      <c r="J707" t="str">
        <f>VLOOKUP(A707,[3]Sheet1!$A:$C,2,FALSE)</f>
        <v>OBS1</v>
      </c>
      <c r="K707" t="str">
        <f>VLOOKUP(A707,[3]Sheet1!$A:$C,3,FALSE)</f>
        <v>FLAIR</v>
      </c>
    </row>
    <row r="708" spans="1:11" x14ac:dyDescent="0.25">
      <c r="A708" s="2" t="s">
        <v>711</v>
      </c>
      <c r="B708">
        <v>-1</v>
      </c>
      <c r="C708" t="s">
        <v>4</v>
      </c>
      <c r="D708" t="str">
        <f>VLOOKUP(A708,[1]Sheet1!$A:$D,2,FALSE)</f>
        <v>Philips Healthcare</v>
      </c>
      <c r="E708" t="str">
        <f>VLOOKUP(A708,[1]Sheet1!$A:$D,3,FALSE)</f>
        <v>Ingenia</v>
      </c>
      <c r="F708">
        <f>VLOOKUP(A708,[1]Sheet1!$A:$D,4,FALSE)</f>
        <v>3</v>
      </c>
      <c r="G708">
        <f>VLOOKUP(A708,[2]Sheet1!$A:$D,2,FALSE)</f>
        <v>0</v>
      </c>
      <c r="H708">
        <f>VLOOKUP(A708,[2]Sheet1!$A:$D,3,FALSE)</f>
        <v>-1</v>
      </c>
      <c r="I708">
        <f>VLOOKUP(A708,[2]Sheet1!$A:$D,4,FALSE)</f>
        <v>-1</v>
      </c>
      <c r="J708" t="str">
        <f>VLOOKUP(A708,[3]Sheet1!$A:$C,2,FALSE)</f>
        <v>AUTO</v>
      </c>
      <c r="K708" t="str">
        <f>VLOOKUP(A708,[3]Sheet1!$A:$C,3,FALSE)</f>
        <v>ALL</v>
      </c>
    </row>
    <row r="709" spans="1:11" x14ac:dyDescent="0.25">
      <c r="A709" s="2" t="s">
        <v>712</v>
      </c>
      <c r="B709">
        <v>59</v>
      </c>
      <c r="C709" t="s">
        <v>4</v>
      </c>
      <c r="D709" t="str">
        <f>VLOOKUP(A709,[1]Sheet1!$A:$D,2,FALSE)</f>
        <v>GE MEDICAL SYSTEMS</v>
      </c>
      <c r="E709" t="str">
        <f>VLOOKUP(A709,[1]Sheet1!$A:$D,3,FALSE)</f>
        <v>GENESIS_SIGNA</v>
      </c>
      <c r="F709">
        <f>VLOOKUP(A709,[1]Sheet1!$A:$D,4,FALSE)</f>
        <v>1</v>
      </c>
      <c r="G709">
        <f>VLOOKUP(A709,[2]Sheet1!$A:$D,2,FALSE)</f>
        <v>-1</v>
      </c>
      <c r="H709">
        <f>VLOOKUP(A709,[2]Sheet1!$A:$D,3,FALSE)</f>
        <v>-1</v>
      </c>
      <c r="I709">
        <f>VLOOKUP(A709,[2]Sheet1!$A:$D,4,FALSE)</f>
        <v>4</v>
      </c>
      <c r="J709" t="str">
        <f>VLOOKUP(A709,[3]Sheet1!$A:$C,2,FALSE)</f>
        <v>AUTO</v>
      </c>
      <c r="K709" t="str">
        <f>VLOOKUP(A709,[3]Sheet1!$A:$C,3,FALSE)</f>
        <v>ALL</v>
      </c>
    </row>
    <row r="710" spans="1:11" x14ac:dyDescent="0.25">
      <c r="A710" s="2" t="s">
        <v>713</v>
      </c>
      <c r="B710">
        <v>54</v>
      </c>
      <c r="C710" t="s">
        <v>4</v>
      </c>
      <c r="D710" t="str">
        <f>VLOOKUP(A710,[1]Sheet1!$A:$D,2,FALSE)</f>
        <v>GE MEDICAL SYSTEMS</v>
      </c>
      <c r="E710" t="str">
        <f>VLOOKUP(A710,[1]Sheet1!$A:$D,3,FALSE)</f>
        <v>DISCOVERY MR450</v>
      </c>
      <c r="F710">
        <f>VLOOKUP(A710,[1]Sheet1!$A:$D,4,FALSE)</f>
        <v>1.5</v>
      </c>
      <c r="G710">
        <f>VLOOKUP(A710,[2]Sheet1!$A:$D,2,FALSE)</f>
        <v>0</v>
      </c>
      <c r="H710">
        <f>VLOOKUP(A710,[2]Sheet1!$A:$D,3,FALSE)</f>
        <v>0</v>
      </c>
      <c r="I710">
        <f>VLOOKUP(A710,[2]Sheet1!$A:$D,4,FALSE)</f>
        <v>4</v>
      </c>
      <c r="J710" t="str">
        <f>VLOOKUP(A710,[3]Sheet1!$A:$C,2,FALSE)</f>
        <v>OBS1</v>
      </c>
      <c r="K710" t="str">
        <f>VLOOKUP(A710,[3]Sheet1!$A:$C,3,FALSE)</f>
        <v>T2</v>
      </c>
    </row>
    <row r="711" spans="1:11" x14ac:dyDescent="0.25">
      <c r="A711" s="2" t="s">
        <v>714</v>
      </c>
      <c r="B711">
        <v>50</v>
      </c>
      <c r="C711" t="s">
        <v>4</v>
      </c>
      <c r="D711" t="str">
        <f>VLOOKUP(A711,[1]Sheet1!$A:$D,2,FALSE)</f>
        <v>SIEMENS</v>
      </c>
      <c r="E711" t="str">
        <f>VLOOKUP(A711,[1]Sheet1!$A:$D,3,FALSE)</f>
        <v>Avanto</v>
      </c>
      <c r="F711">
        <f>VLOOKUP(A711,[1]Sheet1!$A:$D,4,FALSE)</f>
        <v>1.5</v>
      </c>
      <c r="G711">
        <f>VLOOKUP(A711,[2]Sheet1!$A:$D,2,FALSE)</f>
        <v>0</v>
      </c>
      <c r="H711">
        <f>VLOOKUP(A711,[2]Sheet1!$A:$D,3,FALSE)</f>
        <v>0</v>
      </c>
      <c r="I711">
        <f>VLOOKUP(A711,[2]Sheet1!$A:$D,4,FALSE)</f>
        <v>4</v>
      </c>
      <c r="J711" t="str">
        <f>VLOOKUP(A711,[3]Sheet1!$A:$C,2,FALSE)</f>
        <v>OBS1</v>
      </c>
      <c r="K711" t="str">
        <f>VLOOKUP(A711,[3]Sheet1!$A:$C,3,FALSE)</f>
        <v>T2</v>
      </c>
    </row>
    <row r="712" spans="1:11" x14ac:dyDescent="0.25">
      <c r="A712" s="2" t="s">
        <v>715</v>
      </c>
      <c r="B712">
        <v>61</v>
      </c>
      <c r="C712" t="s">
        <v>7</v>
      </c>
      <c r="D712" t="str">
        <f>VLOOKUP(A712,[1]Sheet1!$A:$D,2,FALSE)</f>
        <v>SIEMENS</v>
      </c>
      <c r="E712" t="str">
        <f>VLOOKUP(A712,[1]Sheet1!$A:$D,3,FALSE)</f>
        <v>MAGNETOM EXPERT</v>
      </c>
      <c r="F712">
        <f>VLOOKUP(A712,[1]Sheet1!$A:$D,4,FALSE)</f>
        <v>1</v>
      </c>
      <c r="G712">
        <f>VLOOKUP(A712,[2]Sheet1!$A:$D,2,FALSE)</f>
        <v>-1</v>
      </c>
      <c r="H712">
        <f>VLOOKUP(A712,[2]Sheet1!$A:$D,3,FALSE)</f>
        <v>-1</v>
      </c>
      <c r="I712">
        <f>VLOOKUP(A712,[2]Sheet1!$A:$D,4,FALSE)</f>
        <v>4</v>
      </c>
      <c r="J712" t="str">
        <f>VLOOKUP(A712,[3]Sheet1!$A:$C,2,FALSE)</f>
        <v>AUTO</v>
      </c>
      <c r="K712" t="str">
        <f>VLOOKUP(A712,[3]Sheet1!$A:$C,3,FALSE)</f>
        <v>ALL</v>
      </c>
    </row>
    <row r="713" spans="1:11" x14ac:dyDescent="0.25">
      <c r="A713" s="2" t="s">
        <v>716</v>
      </c>
      <c r="B713">
        <v>21</v>
      </c>
      <c r="C713" t="s">
        <v>7</v>
      </c>
      <c r="D713" t="str">
        <f>VLOOKUP(A713,[1]Sheet1!$A:$D,2,FALSE)</f>
        <v>Philips Medical Systems</v>
      </c>
      <c r="E713" t="str">
        <f>VLOOKUP(A713,[1]Sheet1!$A:$D,3,FALSE)</f>
        <v>Intera</v>
      </c>
      <c r="F713">
        <f>VLOOKUP(A713,[1]Sheet1!$A:$D,4,FALSE)</f>
        <v>1</v>
      </c>
      <c r="G713">
        <f>VLOOKUP(A713,[2]Sheet1!$A:$D,2,FALSE)</f>
        <v>-1</v>
      </c>
      <c r="H713">
        <f>VLOOKUP(A713,[2]Sheet1!$A:$D,3,FALSE)</f>
        <v>0</v>
      </c>
      <c r="I713">
        <f>VLOOKUP(A713,[2]Sheet1!$A:$D,4,FALSE)</f>
        <v>3</v>
      </c>
      <c r="J713" t="str">
        <f>VLOOKUP(A713,[3]Sheet1!$A:$C,2,FALSE)</f>
        <v>AUTO</v>
      </c>
      <c r="K713" t="str">
        <f>VLOOKUP(A713,[3]Sheet1!$A:$C,3,FALSE)</f>
        <v>ALL</v>
      </c>
    </row>
    <row r="714" spans="1:11" x14ac:dyDescent="0.25">
      <c r="A714" s="2" t="s">
        <v>717</v>
      </c>
      <c r="B714">
        <v>28</v>
      </c>
      <c r="C714" t="s">
        <v>4</v>
      </c>
      <c r="D714" t="str">
        <f>VLOOKUP(A714,[1]Sheet1!$A:$D,2,FALSE)</f>
        <v>Philips Medical Systems</v>
      </c>
      <c r="E714" t="str">
        <f>VLOOKUP(A714,[1]Sheet1!$A:$D,3,FALSE)</f>
        <v>Intera</v>
      </c>
      <c r="F714">
        <f>VLOOKUP(A714,[1]Sheet1!$A:$D,4,FALSE)</f>
        <v>0.5</v>
      </c>
      <c r="G714">
        <f>VLOOKUP(A714,[2]Sheet1!$A:$D,2,FALSE)</f>
        <v>-1</v>
      </c>
      <c r="H714">
        <f>VLOOKUP(A714,[2]Sheet1!$A:$D,3,FALSE)</f>
        <v>-1</v>
      </c>
      <c r="I714">
        <f>VLOOKUP(A714,[2]Sheet1!$A:$D,4,FALSE)</f>
        <v>4</v>
      </c>
      <c r="J714" t="str">
        <f>VLOOKUP(A714,[3]Sheet1!$A:$C,2,FALSE)</f>
        <v>AUTO</v>
      </c>
      <c r="K714" t="str">
        <f>VLOOKUP(A714,[3]Sheet1!$A:$C,3,FALSE)</f>
        <v>ALL</v>
      </c>
    </row>
    <row r="715" spans="1:11" x14ac:dyDescent="0.25">
      <c r="A715" s="2" t="s">
        <v>718</v>
      </c>
      <c r="B715">
        <v>61</v>
      </c>
      <c r="C715" t="s">
        <v>4</v>
      </c>
      <c r="D715" t="str">
        <f>VLOOKUP(A715,[1]Sheet1!$A:$D,2,FALSE)</f>
        <v>SIEMENS</v>
      </c>
      <c r="E715" t="str">
        <f>VLOOKUP(A715,[1]Sheet1!$A:$D,3,FALSE)</f>
        <v>Symphony</v>
      </c>
      <c r="F715">
        <f>VLOOKUP(A715,[1]Sheet1!$A:$D,4,FALSE)</f>
        <v>1.5</v>
      </c>
      <c r="G715">
        <f>VLOOKUP(A715,[2]Sheet1!$A:$D,2,FALSE)</f>
        <v>-1</v>
      </c>
      <c r="H715">
        <f>VLOOKUP(A715,[2]Sheet1!$A:$D,3,FALSE)</f>
        <v>-1</v>
      </c>
      <c r="I715">
        <f>VLOOKUP(A715,[2]Sheet1!$A:$D,4,FALSE)</f>
        <v>4</v>
      </c>
      <c r="J715" t="str">
        <f>VLOOKUP(A715,[3]Sheet1!$A:$C,2,FALSE)</f>
        <v>AUTO</v>
      </c>
      <c r="K715" t="str">
        <f>VLOOKUP(A715,[3]Sheet1!$A:$C,3,FALSE)</f>
        <v>ALL</v>
      </c>
    </row>
    <row r="716" spans="1:11" x14ac:dyDescent="0.25">
      <c r="A716" s="2" t="s">
        <v>719</v>
      </c>
      <c r="B716">
        <v>67</v>
      </c>
      <c r="C716" t="s">
        <v>7</v>
      </c>
      <c r="D716" t="str">
        <f>VLOOKUP(A716,[1]Sheet1!$A:$D,2,FALSE)</f>
        <v>SIEMENS</v>
      </c>
      <c r="E716" t="str">
        <f>VLOOKUP(A716,[1]Sheet1!$A:$D,3,FALSE)</f>
        <v>Symphony</v>
      </c>
      <c r="F716">
        <f>VLOOKUP(A716,[1]Sheet1!$A:$D,4,FALSE)</f>
        <v>1.5</v>
      </c>
      <c r="G716">
        <f>VLOOKUP(A716,[2]Sheet1!$A:$D,2,FALSE)</f>
        <v>0</v>
      </c>
      <c r="H716">
        <f>VLOOKUP(A716,[2]Sheet1!$A:$D,3,FALSE)</f>
        <v>-1</v>
      </c>
      <c r="I716">
        <f>VLOOKUP(A716,[2]Sheet1!$A:$D,4,FALSE)</f>
        <v>4</v>
      </c>
      <c r="J716" t="str">
        <f>VLOOKUP(A716,[3]Sheet1!$A:$C,2,FALSE)</f>
        <v>AUTO</v>
      </c>
      <c r="K716" t="str">
        <f>VLOOKUP(A716,[3]Sheet1!$A:$C,3,FALSE)</f>
        <v>ALL</v>
      </c>
    </row>
    <row r="717" spans="1:11" x14ac:dyDescent="0.25">
      <c r="A717" s="2" t="s">
        <v>720</v>
      </c>
      <c r="B717">
        <v>57</v>
      </c>
      <c r="C717" t="s">
        <v>4</v>
      </c>
      <c r="D717" t="str">
        <f>VLOOKUP(A717,[1]Sheet1!$A:$D,2,FALSE)</f>
        <v>GE MEDICAL SYSTEMS</v>
      </c>
      <c r="E717" t="str">
        <f>VLOOKUP(A717,[1]Sheet1!$A:$D,3,FALSE)</f>
        <v>DISCOVERY MR450</v>
      </c>
      <c r="F717">
        <f>VLOOKUP(A717,[1]Sheet1!$A:$D,4,FALSE)</f>
        <v>1.5</v>
      </c>
      <c r="G717">
        <f>VLOOKUP(A717,[2]Sheet1!$A:$D,2,FALSE)</f>
        <v>-1</v>
      </c>
      <c r="H717">
        <f>VLOOKUP(A717,[2]Sheet1!$A:$D,3,FALSE)</f>
        <v>-1</v>
      </c>
      <c r="I717">
        <f>VLOOKUP(A717,[2]Sheet1!$A:$D,4,FALSE)</f>
        <v>4</v>
      </c>
      <c r="J717" t="str">
        <f>VLOOKUP(A717,[3]Sheet1!$A:$C,2,FALSE)</f>
        <v>AUTO</v>
      </c>
      <c r="K717" t="str">
        <f>VLOOKUP(A717,[3]Sheet1!$A:$C,3,FALSE)</f>
        <v>ALL</v>
      </c>
    </row>
    <row r="718" spans="1:11" x14ac:dyDescent="0.25">
      <c r="A718" s="2" t="s">
        <v>721</v>
      </c>
      <c r="B718">
        <v>82</v>
      </c>
      <c r="C718" t="s">
        <v>4</v>
      </c>
      <c r="D718" t="str">
        <f>VLOOKUP(A718,[1]Sheet1!$A:$D,2,FALSE)</f>
        <v>SIEMENS</v>
      </c>
      <c r="E718" t="str">
        <f>VLOOKUP(A718,[1]Sheet1!$A:$D,3,FALSE)</f>
        <v>Avanto</v>
      </c>
      <c r="F718">
        <f>VLOOKUP(A718,[1]Sheet1!$A:$D,4,FALSE)</f>
        <v>1.5</v>
      </c>
      <c r="G718">
        <f>VLOOKUP(A718,[2]Sheet1!$A:$D,2,FALSE)</f>
        <v>-1</v>
      </c>
      <c r="H718">
        <f>VLOOKUP(A718,[2]Sheet1!$A:$D,3,FALSE)</f>
        <v>-1</v>
      </c>
      <c r="I718">
        <f>VLOOKUP(A718,[2]Sheet1!$A:$D,4,FALSE)</f>
        <v>4</v>
      </c>
      <c r="J718" t="str">
        <f>VLOOKUP(A718,[3]Sheet1!$A:$C,2,FALSE)</f>
        <v>OBS1</v>
      </c>
      <c r="K718" t="str">
        <f>VLOOKUP(A718,[3]Sheet1!$A:$C,3,FALSE)</f>
        <v>FLAIR</v>
      </c>
    </row>
    <row r="719" spans="1:11" x14ac:dyDescent="0.25">
      <c r="A719" s="2" t="s">
        <v>722</v>
      </c>
      <c r="B719">
        <v>71</v>
      </c>
      <c r="C719" t="s">
        <v>7</v>
      </c>
      <c r="D719" t="str">
        <f>VLOOKUP(A719,[1]Sheet1!$A:$D,2,FALSE)</f>
        <v>Philips Medical Systems</v>
      </c>
      <c r="E719" t="str">
        <f>VLOOKUP(A719,[1]Sheet1!$A:$D,3,FALSE)</f>
        <v>Intera</v>
      </c>
      <c r="F719">
        <f>VLOOKUP(A719,[1]Sheet1!$A:$D,4,FALSE)</f>
        <v>1.5</v>
      </c>
      <c r="G719">
        <f>VLOOKUP(A719,[2]Sheet1!$A:$D,2,FALSE)</f>
        <v>-1</v>
      </c>
      <c r="H719">
        <f>VLOOKUP(A719,[2]Sheet1!$A:$D,3,FALSE)</f>
        <v>-1</v>
      </c>
      <c r="I719">
        <f>VLOOKUP(A719,[2]Sheet1!$A:$D,4,FALSE)</f>
        <v>3</v>
      </c>
      <c r="J719" t="str">
        <f>VLOOKUP(A719,[3]Sheet1!$A:$C,2,FALSE)</f>
        <v>AUTO</v>
      </c>
      <c r="K719" t="str">
        <f>VLOOKUP(A719,[3]Sheet1!$A:$C,3,FALSE)</f>
        <v>ALL</v>
      </c>
    </row>
    <row r="720" spans="1:11" x14ac:dyDescent="0.25">
      <c r="A720" s="2" t="s">
        <v>723</v>
      </c>
      <c r="B720">
        <v>71</v>
      </c>
      <c r="C720" t="s">
        <v>7</v>
      </c>
      <c r="D720" t="str">
        <f>VLOOKUP(A720,[1]Sheet1!$A:$D,2,FALSE)</f>
        <v>SIEMENS</v>
      </c>
      <c r="E720" t="str">
        <f>VLOOKUP(A720,[1]Sheet1!$A:$D,3,FALSE)</f>
        <v>Symphony</v>
      </c>
      <c r="F720">
        <f>VLOOKUP(A720,[1]Sheet1!$A:$D,4,FALSE)</f>
        <v>1.5</v>
      </c>
      <c r="G720">
        <f>VLOOKUP(A720,[2]Sheet1!$A:$D,2,FALSE)</f>
        <v>-1</v>
      </c>
      <c r="H720">
        <f>VLOOKUP(A720,[2]Sheet1!$A:$D,3,FALSE)</f>
        <v>-1</v>
      </c>
      <c r="I720">
        <f>VLOOKUP(A720,[2]Sheet1!$A:$D,4,FALSE)</f>
        <v>4</v>
      </c>
      <c r="J720" t="str">
        <f>VLOOKUP(A720,[3]Sheet1!$A:$C,2,FALSE)</f>
        <v>AUTO</v>
      </c>
      <c r="K720" t="str">
        <f>VLOOKUP(A720,[3]Sheet1!$A:$C,3,FALSE)</f>
        <v>ALL</v>
      </c>
    </row>
    <row r="721" spans="1:11" x14ac:dyDescent="0.25">
      <c r="A721" s="2" t="s">
        <v>724</v>
      </c>
      <c r="B721">
        <v>34</v>
      </c>
      <c r="C721" t="s">
        <v>7</v>
      </c>
      <c r="D721" t="str">
        <f>VLOOKUP(A721,[1]Sheet1!$A:$D,2,FALSE)</f>
        <v>Philips Medical Systems</v>
      </c>
      <c r="E721" t="str">
        <f>VLOOKUP(A721,[1]Sheet1!$A:$D,3,FALSE)</f>
        <v>Achieva</v>
      </c>
      <c r="F721">
        <f>VLOOKUP(A721,[1]Sheet1!$A:$D,4,FALSE)</f>
        <v>1.5</v>
      </c>
      <c r="G721">
        <f>VLOOKUP(A721,[2]Sheet1!$A:$D,2,FALSE)</f>
        <v>1</v>
      </c>
      <c r="H721">
        <f>VLOOKUP(A721,[2]Sheet1!$A:$D,3,FALSE)</f>
        <v>0</v>
      </c>
      <c r="I721">
        <f>VLOOKUP(A721,[2]Sheet1!$A:$D,4,FALSE)</f>
        <v>2</v>
      </c>
      <c r="J721" t="str">
        <f>VLOOKUP(A721,[3]Sheet1!$A:$C,2,FALSE)</f>
        <v>AUTO</v>
      </c>
      <c r="K721" t="str">
        <f>VLOOKUP(A721,[3]Sheet1!$A:$C,3,FALSE)</f>
        <v>ALL</v>
      </c>
    </row>
    <row r="722" spans="1:11" x14ac:dyDescent="0.25">
      <c r="A722" s="2" t="s">
        <v>725</v>
      </c>
      <c r="B722">
        <v>48</v>
      </c>
      <c r="C722" t="s">
        <v>4</v>
      </c>
      <c r="D722" t="str">
        <f>VLOOKUP(A722,[1]Sheet1!$A:$D,2,FALSE)</f>
        <v>SIEMENS</v>
      </c>
      <c r="E722" t="str">
        <f>VLOOKUP(A722,[1]Sheet1!$A:$D,3,FALSE)</f>
        <v>MAGNETOM_ESSENZA</v>
      </c>
      <c r="F722">
        <f>VLOOKUP(A722,[1]Sheet1!$A:$D,4,FALSE)</f>
        <v>1.5</v>
      </c>
      <c r="G722">
        <f>VLOOKUP(A722,[2]Sheet1!$A:$D,2,FALSE)</f>
        <v>-1</v>
      </c>
      <c r="H722">
        <f>VLOOKUP(A722,[2]Sheet1!$A:$D,3,FALSE)</f>
        <v>-1</v>
      </c>
      <c r="I722">
        <f>VLOOKUP(A722,[2]Sheet1!$A:$D,4,FALSE)</f>
        <v>4</v>
      </c>
      <c r="J722" t="str">
        <f>VLOOKUP(A722,[3]Sheet1!$A:$C,2,FALSE)</f>
        <v>AUTO</v>
      </c>
      <c r="K722" t="str">
        <f>VLOOKUP(A722,[3]Sheet1!$A:$C,3,FALSE)</f>
        <v>ALL</v>
      </c>
    </row>
    <row r="723" spans="1:11" x14ac:dyDescent="0.25">
      <c r="A723" s="2" t="s">
        <v>726</v>
      </c>
      <c r="B723">
        <v>45</v>
      </c>
      <c r="C723" t="s">
        <v>7</v>
      </c>
      <c r="D723" t="str">
        <f>VLOOKUP(A723,[1]Sheet1!$A:$D,2,FALSE)</f>
        <v>Philips Medical Systems</v>
      </c>
      <c r="E723" t="str">
        <f>VLOOKUP(A723,[1]Sheet1!$A:$D,3,FALSE)</f>
        <v>Achieva</v>
      </c>
      <c r="F723">
        <f>VLOOKUP(A723,[1]Sheet1!$A:$D,4,FALSE)</f>
        <v>1.5</v>
      </c>
      <c r="G723">
        <f>VLOOKUP(A723,[2]Sheet1!$A:$D,2,FALSE)</f>
        <v>-1</v>
      </c>
      <c r="H723">
        <f>VLOOKUP(A723,[2]Sheet1!$A:$D,3,FALSE)</f>
        <v>-1</v>
      </c>
      <c r="I723">
        <f>VLOOKUP(A723,[2]Sheet1!$A:$D,4,FALSE)</f>
        <v>4</v>
      </c>
      <c r="J723" t="str">
        <f>VLOOKUP(A723,[3]Sheet1!$A:$C,2,FALSE)</f>
        <v>AUTO</v>
      </c>
      <c r="K723" t="str">
        <f>VLOOKUP(A723,[3]Sheet1!$A:$C,3,FALSE)</f>
        <v>ALL</v>
      </c>
    </row>
    <row r="724" spans="1:11" x14ac:dyDescent="0.25">
      <c r="A724" s="2" t="s">
        <v>727</v>
      </c>
      <c r="B724">
        <v>61</v>
      </c>
      <c r="C724" t="s">
        <v>7</v>
      </c>
      <c r="D724" t="str">
        <f>VLOOKUP(A724,[1]Sheet1!$A:$D,2,FALSE)</f>
        <v>SIEMENS</v>
      </c>
      <c r="E724" t="str">
        <f>VLOOKUP(A724,[1]Sheet1!$A:$D,3,FALSE)</f>
        <v>Avanto</v>
      </c>
      <c r="F724">
        <f>VLOOKUP(A724,[1]Sheet1!$A:$D,4,FALSE)</f>
        <v>1.5</v>
      </c>
      <c r="G724">
        <f>VLOOKUP(A724,[2]Sheet1!$A:$D,2,FALSE)</f>
        <v>0</v>
      </c>
      <c r="H724">
        <f>VLOOKUP(A724,[2]Sheet1!$A:$D,3,FALSE)</f>
        <v>-1</v>
      </c>
      <c r="I724">
        <f>VLOOKUP(A724,[2]Sheet1!$A:$D,4,FALSE)</f>
        <v>4</v>
      </c>
      <c r="J724" t="str">
        <f>VLOOKUP(A724,[3]Sheet1!$A:$C,2,FALSE)</f>
        <v>OBS1</v>
      </c>
      <c r="K724" t="str">
        <f>VLOOKUP(A724,[3]Sheet1!$A:$C,3,FALSE)</f>
        <v>T2</v>
      </c>
    </row>
    <row r="725" spans="1:11" x14ac:dyDescent="0.25">
      <c r="A725" s="2" t="s">
        <v>728</v>
      </c>
      <c r="B725">
        <v>64</v>
      </c>
      <c r="C725" t="s">
        <v>4</v>
      </c>
      <c r="D725" t="str">
        <f>VLOOKUP(A725,[1]Sheet1!$A:$D,2,FALSE)</f>
        <v>SIEMENS</v>
      </c>
      <c r="E725" t="str">
        <f>VLOOKUP(A725,[1]Sheet1!$A:$D,3,FALSE)</f>
        <v>Symphony</v>
      </c>
      <c r="F725">
        <f>VLOOKUP(A725,[1]Sheet1!$A:$D,4,FALSE)</f>
        <v>1.5</v>
      </c>
      <c r="G725">
        <f>VLOOKUP(A725,[2]Sheet1!$A:$D,2,FALSE)</f>
        <v>-1</v>
      </c>
      <c r="H725">
        <f>VLOOKUP(A725,[2]Sheet1!$A:$D,3,FALSE)</f>
        <v>-1</v>
      </c>
      <c r="I725">
        <f>VLOOKUP(A725,[2]Sheet1!$A:$D,4,FALSE)</f>
        <v>4</v>
      </c>
      <c r="J725" t="str">
        <f>VLOOKUP(A725,[3]Sheet1!$A:$C,2,FALSE)</f>
        <v>OBS1</v>
      </c>
      <c r="K725" t="str">
        <f>VLOOKUP(A725,[3]Sheet1!$A:$C,3,FALSE)</f>
        <v>T2</v>
      </c>
    </row>
    <row r="726" spans="1:11" x14ac:dyDescent="0.25">
      <c r="A726" s="2" t="s">
        <v>729</v>
      </c>
      <c r="B726">
        <v>29</v>
      </c>
      <c r="C726" t="s">
        <v>4</v>
      </c>
      <c r="D726" t="str">
        <f>VLOOKUP(A726,[1]Sheet1!$A:$D,2,FALSE)</f>
        <v>GE MEDICAL SYSTEMS</v>
      </c>
      <c r="E726" t="str">
        <f>VLOOKUP(A726,[1]Sheet1!$A:$D,3,FALSE)</f>
        <v>DISCOVERY MR450</v>
      </c>
      <c r="F726">
        <f>VLOOKUP(A726,[1]Sheet1!$A:$D,4,FALSE)</f>
        <v>1.5</v>
      </c>
      <c r="G726">
        <f>VLOOKUP(A726,[2]Sheet1!$A:$D,2,FALSE)</f>
        <v>0</v>
      </c>
      <c r="H726">
        <f>VLOOKUP(A726,[2]Sheet1!$A:$D,3,FALSE)</f>
        <v>0</v>
      </c>
      <c r="I726">
        <f>VLOOKUP(A726,[2]Sheet1!$A:$D,4,FALSE)</f>
        <v>3</v>
      </c>
      <c r="J726" t="str">
        <f>VLOOKUP(A726,[3]Sheet1!$A:$C,2,FALSE)</f>
        <v>AUTO</v>
      </c>
      <c r="K726" t="str">
        <f>VLOOKUP(A726,[3]Sheet1!$A:$C,3,FALSE)</f>
        <v>ALL</v>
      </c>
    </row>
    <row r="727" spans="1:11" x14ac:dyDescent="0.25">
      <c r="A727" s="2" t="s">
        <v>730</v>
      </c>
      <c r="B727">
        <v>60</v>
      </c>
      <c r="C727" t="s">
        <v>4</v>
      </c>
      <c r="D727" t="str">
        <f>VLOOKUP(A727,[1]Sheet1!$A:$D,2,FALSE)</f>
        <v>SIEMENS</v>
      </c>
      <c r="E727" t="str">
        <f>VLOOKUP(A727,[1]Sheet1!$A:$D,3,FALSE)</f>
        <v>Harmony</v>
      </c>
      <c r="F727">
        <f>VLOOKUP(A727,[1]Sheet1!$A:$D,4,FALSE)</f>
        <v>1</v>
      </c>
      <c r="G727">
        <f>VLOOKUP(A727,[2]Sheet1!$A:$D,2,FALSE)</f>
        <v>-1</v>
      </c>
      <c r="H727">
        <f>VLOOKUP(A727,[2]Sheet1!$A:$D,3,FALSE)</f>
        <v>-1</v>
      </c>
      <c r="I727">
        <f>VLOOKUP(A727,[2]Sheet1!$A:$D,4,FALSE)</f>
        <v>4</v>
      </c>
      <c r="J727" t="str">
        <f>VLOOKUP(A727,[3]Sheet1!$A:$C,2,FALSE)</f>
        <v>AUTO</v>
      </c>
      <c r="K727" t="str">
        <f>VLOOKUP(A727,[3]Sheet1!$A:$C,3,FALSE)</f>
        <v>ALL</v>
      </c>
    </row>
    <row r="728" spans="1:11" x14ac:dyDescent="0.25">
      <c r="A728" s="2" t="s">
        <v>731</v>
      </c>
      <c r="B728">
        <v>62</v>
      </c>
      <c r="C728" t="s">
        <v>4</v>
      </c>
      <c r="D728" t="str">
        <f>VLOOKUP(A728,[1]Sheet1!$A:$D,2,FALSE)</f>
        <v>SIEMENS</v>
      </c>
      <c r="E728" t="str">
        <f>VLOOKUP(A728,[1]Sheet1!$A:$D,3,FALSE)</f>
        <v>Symphony</v>
      </c>
      <c r="F728">
        <f>VLOOKUP(A728,[1]Sheet1!$A:$D,4,FALSE)</f>
        <v>1.5</v>
      </c>
      <c r="G728">
        <f>VLOOKUP(A728,[2]Sheet1!$A:$D,2,FALSE)</f>
        <v>-1</v>
      </c>
      <c r="H728">
        <f>VLOOKUP(A728,[2]Sheet1!$A:$D,3,FALSE)</f>
        <v>-1</v>
      </c>
      <c r="I728">
        <f>VLOOKUP(A728,[2]Sheet1!$A:$D,4,FALSE)</f>
        <v>4</v>
      </c>
      <c r="J728" t="str">
        <f>VLOOKUP(A728,[3]Sheet1!$A:$C,2,FALSE)</f>
        <v>AUTO</v>
      </c>
      <c r="K728" t="str">
        <f>VLOOKUP(A728,[3]Sheet1!$A:$C,3,FALSE)</f>
        <v>ALL</v>
      </c>
    </row>
    <row r="729" spans="1:11" x14ac:dyDescent="0.25">
      <c r="A729" s="2" t="s">
        <v>732</v>
      </c>
      <c r="B729">
        <v>61</v>
      </c>
      <c r="C729" t="s">
        <v>7</v>
      </c>
      <c r="D729" t="str">
        <f>VLOOKUP(A729,[1]Sheet1!$A:$D,2,FALSE)</f>
        <v>Philips Medical Systems</v>
      </c>
      <c r="E729" t="str">
        <f>VLOOKUP(A729,[1]Sheet1!$A:$D,3,FALSE)</f>
        <v>Ingenia</v>
      </c>
      <c r="F729">
        <f>VLOOKUP(A729,[1]Sheet1!$A:$D,4,FALSE)</f>
        <v>1.5</v>
      </c>
      <c r="G729">
        <f>VLOOKUP(A729,[2]Sheet1!$A:$D,2,FALSE)</f>
        <v>0</v>
      </c>
      <c r="H729">
        <f>VLOOKUP(A729,[2]Sheet1!$A:$D,3,FALSE)</f>
        <v>0</v>
      </c>
      <c r="I729">
        <f>VLOOKUP(A729,[2]Sheet1!$A:$D,4,FALSE)</f>
        <v>4</v>
      </c>
      <c r="J729" t="str">
        <f>VLOOKUP(A729,[3]Sheet1!$A:$C,2,FALSE)</f>
        <v>OBS1</v>
      </c>
      <c r="K729" t="str">
        <f>VLOOKUP(A729,[3]Sheet1!$A:$C,3,FALSE)</f>
        <v>T2</v>
      </c>
    </row>
    <row r="730" spans="1:11" x14ac:dyDescent="0.25">
      <c r="A730" s="2" t="s">
        <v>733</v>
      </c>
      <c r="B730">
        <v>37</v>
      </c>
      <c r="C730" t="s">
        <v>4</v>
      </c>
      <c r="D730" t="str">
        <f>VLOOKUP(A730,[1]Sheet1!$A:$D,2,FALSE)</f>
        <v>GE MEDICAL SYSTEMS</v>
      </c>
      <c r="E730" t="str">
        <f>VLOOKUP(A730,[1]Sheet1!$A:$D,3,FALSE)</f>
        <v>DISCOVERY MR750</v>
      </c>
      <c r="F730">
        <f>VLOOKUP(A730,[1]Sheet1!$A:$D,4,FALSE)</f>
        <v>3</v>
      </c>
      <c r="G730">
        <f>VLOOKUP(A730,[2]Sheet1!$A:$D,2,FALSE)</f>
        <v>1</v>
      </c>
      <c r="H730">
        <f>VLOOKUP(A730,[2]Sheet1!$A:$D,3,FALSE)</f>
        <v>-1</v>
      </c>
      <c r="I730">
        <f>VLOOKUP(A730,[2]Sheet1!$A:$D,4,FALSE)</f>
        <v>4</v>
      </c>
      <c r="J730" t="str">
        <f>VLOOKUP(A730,[3]Sheet1!$A:$C,2,FALSE)</f>
        <v>OBS1</v>
      </c>
      <c r="K730" t="str">
        <f>VLOOKUP(A730,[3]Sheet1!$A:$C,3,FALSE)</f>
        <v>T2</v>
      </c>
    </row>
    <row r="731" spans="1:11" x14ac:dyDescent="0.25">
      <c r="A731" s="2" t="s">
        <v>734</v>
      </c>
      <c r="B731">
        <v>37</v>
      </c>
      <c r="C731" t="s">
        <v>4</v>
      </c>
      <c r="D731" t="str">
        <f>VLOOKUP(A731,[1]Sheet1!$A:$D,2,FALSE)</f>
        <v>SIEMENS</v>
      </c>
      <c r="E731" t="str">
        <f>VLOOKUP(A731,[1]Sheet1!$A:$D,3,FALSE)</f>
        <v>Avanto</v>
      </c>
      <c r="F731">
        <f>VLOOKUP(A731,[1]Sheet1!$A:$D,4,FALSE)</f>
        <v>1.5</v>
      </c>
      <c r="G731">
        <f>VLOOKUP(A731,[2]Sheet1!$A:$D,2,FALSE)</f>
        <v>1</v>
      </c>
      <c r="H731">
        <f>VLOOKUP(A731,[2]Sheet1!$A:$D,3,FALSE)</f>
        <v>1</v>
      </c>
      <c r="I731">
        <f>VLOOKUP(A731,[2]Sheet1!$A:$D,4,FALSE)</f>
        <v>2</v>
      </c>
      <c r="J731" t="str">
        <f>VLOOKUP(A731,[3]Sheet1!$A:$C,2,FALSE)</f>
        <v>OBS2</v>
      </c>
      <c r="K731" t="str">
        <f>VLOOKUP(A731,[3]Sheet1!$A:$C,3,FALSE)</f>
        <v>FLAIR</v>
      </c>
    </row>
    <row r="732" spans="1:11" x14ac:dyDescent="0.25">
      <c r="A732" s="2" t="s">
        <v>735</v>
      </c>
      <c r="B732">
        <v>54</v>
      </c>
      <c r="C732" t="s">
        <v>7</v>
      </c>
      <c r="D732" t="str">
        <f>VLOOKUP(A732,[1]Sheet1!$A:$D,2,FALSE)</f>
        <v>SIEMENS</v>
      </c>
      <c r="E732" t="str">
        <f>VLOOKUP(A732,[1]Sheet1!$A:$D,3,FALSE)</f>
        <v>Symphony</v>
      </c>
      <c r="F732">
        <f>VLOOKUP(A732,[1]Sheet1!$A:$D,4,FALSE)</f>
        <v>1.5</v>
      </c>
      <c r="G732">
        <f>VLOOKUP(A732,[2]Sheet1!$A:$D,2,FALSE)</f>
        <v>-1</v>
      </c>
      <c r="H732">
        <f>VLOOKUP(A732,[2]Sheet1!$A:$D,3,FALSE)</f>
        <v>-1</v>
      </c>
      <c r="I732">
        <f>VLOOKUP(A732,[2]Sheet1!$A:$D,4,FALSE)</f>
        <v>-1</v>
      </c>
      <c r="J732" t="str">
        <f>VLOOKUP(A732,[3]Sheet1!$A:$C,2,FALSE)</f>
        <v>AUTO</v>
      </c>
      <c r="K732" t="str">
        <f>VLOOKUP(A732,[3]Sheet1!$A:$C,3,FALSE)</f>
        <v>ALL</v>
      </c>
    </row>
    <row r="733" spans="1:11" x14ac:dyDescent="0.25">
      <c r="A733" s="2" t="s">
        <v>736</v>
      </c>
      <c r="B733">
        <v>77</v>
      </c>
      <c r="C733" t="s">
        <v>4</v>
      </c>
      <c r="D733" t="str">
        <f>VLOOKUP(A733,[1]Sheet1!$A:$D,2,FALSE)</f>
        <v>Philips Medical Systems</v>
      </c>
      <c r="E733" t="str">
        <f>VLOOKUP(A733,[1]Sheet1!$A:$D,3,FALSE)</f>
        <v>Intera</v>
      </c>
      <c r="F733">
        <f>VLOOKUP(A733,[1]Sheet1!$A:$D,4,FALSE)</f>
        <v>1.5</v>
      </c>
      <c r="G733">
        <f>VLOOKUP(A733,[2]Sheet1!$A:$D,2,FALSE)</f>
        <v>-1</v>
      </c>
      <c r="H733">
        <f>VLOOKUP(A733,[2]Sheet1!$A:$D,3,FALSE)</f>
        <v>-1</v>
      </c>
      <c r="I733">
        <f>VLOOKUP(A733,[2]Sheet1!$A:$D,4,FALSE)</f>
        <v>4</v>
      </c>
      <c r="J733" t="str">
        <f>VLOOKUP(A733,[3]Sheet1!$A:$C,2,FALSE)</f>
        <v>AUTO</v>
      </c>
      <c r="K733" t="str">
        <f>VLOOKUP(A733,[3]Sheet1!$A:$C,3,FALSE)</f>
        <v>ALL</v>
      </c>
    </row>
    <row r="734" spans="1:11" x14ac:dyDescent="0.25">
      <c r="A734" s="2" t="s">
        <v>737</v>
      </c>
      <c r="B734">
        <v>76</v>
      </c>
      <c r="C734" t="s">
        <v>7</v>
      </c>
      <c r="D734" t="str">
        <f>VLOOKUP(A734,[1]Sheet1!$A:$D,2,FALSE)</f>
        <v>SIEMENS</v>
      </c>
      <c r="E734" t="str">
        <f>VLOOKUP(A734,[1]Sheet1!$A:$D,3,FALSE)</f>
        <v>MAGNETOM EXPERT</v>
      </c>
      <c r="F734">
        <f>VLOOKUP(A734,[1]Sheet1!$A:$D,4,FALSE)</f>
        <v>1</v>
      </c>
      <c r="G734">
        <f>VLOOKUP(A734,[2]Sheet1!$A:$D,2,FALSE)</f>
        <v>-1</v>
      </c>
      <c r="H734">
        <f>VLOOKUP(A734,[2]Sheet1!$A:$D,3,FALSE)</f>
        <v>-1</v>
      </c>
      <c r="I734">
        <f>VLOOKUP(A734,[2]Sheet1!$A:$D,4,FALSE)</f>
        <v>3</v>
      </c>
      <c r="J734" t="str">
        <f>VLOOKUP(A734,[3]Sheet1!$A:$C,2,FALSE)</f>
        <v>AUTO</v>
      </c>
      <c r="K734" t="str">
        <f>VLOOKUP(A734,[3]Sheet1!$A:$C,3,FALSE)</f>
        <v>ALL</v>
      </c>
    </row>
    <row r="735" spans="1:11" x14ac:dyDescent="0.25">
      <c r="A735" s="2" t="s">
        <v>738</v>
      </c>
      <c r="B735">
        <v>68</v>
      </c>
      <c r="C735" t="s">
        <v>4</v>
      </c>
      <c r="D735" t="str">
        <f>VLOOKUP(A735,[1]Sheet1!$A:$D,2,FALSE)</f>
        <v>SIEMENS</v>
      </c>
      <c r="E735" t="str">
        <f>VLOOKUP(A735,[1]Sheet1!$A:$D,3,FALSE)</f>
        <v>Skyra</v>
      </c>
      <c r="F735">
        <f>VLOOKUP(A735,[1]Sheet1!$A:$D,4,FALSE)</f>
        <v>3</v>
      </c>
      <c r="G735">
        <f>VLOOKUP(A735,[2]Sheet1!$A:$D,2,FALSE)</f>
        <v>0</v>
      </c>
      <c r="H735">
        <f>VLOOKUP(A735,[2]Sheet1!$A:$D,3,FALSE)</f>
        <v>0</v>
      </c>
      <c r="I735">
        <f>VLOOKUP(A735,[2]Sheet1!$A:$D,4,FALSE)</f>
        <v>2</v>
      </c>
      <c r="J735" t="str">
        <f>VLOOKUP(A735,[3]Sheet1!$A:$C,2,FALSE)</f>
        <v>AUTO</v>
      </c>
      <c r="K735" t="str">
        <f>VLOOKUP(A735,[3]Sheet1!$A:$C,3,FALSE)</f>
        <v>ALL</v>
      </c>
    </row>
    <row r="736" spans="1:11" x14ac:dyDescent="0.25">
      <c r="A736" s="2" t="s">
        <v>739</v>
      </c>
      <c r="B736">
        <v>-1</v>
      </c>
      <c r="C736" t="s">
        <v>4</v>
      </c>
      <c r="D736" t="str">
        <f>VLOOKUP(A736,[1]Sheet1!$A:$D,2,FALSE)</f>
        <v>Philips Medical Systems</v>
      </c>
      <c r="E736" t="str">
        <f>VLOOKUP(A736,[1]Sheet1!$A:$D,3,FALSE)</f>
        <v>Ingenia</v>
      </c>
      <c r="F736">
        <f>VLOOKUP(A736,[1]Sheet1!$A:$D,4,FALSE)</f>
        <v>-1</v>
      </c>
      <c r="G736">
        <f>VLOOKUP(A736,[2]Sheet1!$A:$D,2,FALSE)</f>
        <v>0</v>
      </c>
      <c r="H736">
        <f>VLOOKUP(A736,[2]Sheet1!$A:$D,3,FALSE)</f>
        <v>-1</v>
      </c>
      <c r="I736">
        <f>VLOOKUP(A736,[2]Sheet1!$A:$D,4,FALSE)</f>
        <v>-1</v>
      </c>
      <c r="J736" t="str">
        <f>VLOOKUP(A736,[3]Sheet1!$A:$C,2,FALSE)</f>
        <v>OBS1</v>
      </c>
      <c r="K736" t="str">
        <f>VLOOKUP(A736,[3]Sheet1!$A:$C,3,FALSE)</f>
        <v>T2</v>
      </c>
    </row>
    <row r="737" spans="1:11" x14ac:dyDescent="0.25">
      <c r="A737" s="2" t="s">
        <v>740</v>
      </c>
      <c r="B737">
        <v>50</v>
      </c>
      <c r="C737" t="s">
        <v>4</v>
      </c>
      <c r="D737" t="str">
        <f>VLOOKUP(A737,[1]Sheet1!$A:$D,2,FALSE)</f>
        <v>GE MEDICAL SYSTEMS</v>
      </c>
      <c r="E737" t="str">
        <f>VLOOKUP(A737,[1]Sheet1!$A:$D,3,FALSE)</f>
        <v>DISCOVERY MR750</v>
      </c>
      <c r="F737">
        <f>VLOOKUP(A737,[1]Sheet1!$A:$D,4,FALSE)</f>
        <v>3</v>
      </c>
      <c r="G737">
        <f>VLOOKUP(A737,[2]Sheet1!$A:$D,2,FALSE)</f>
        <v>0</v>
      </c>
      <c r="H737">
        <f>VLOOKUP(A737,[2]Sheet1!$A:$D,3,FALSE)</f>
        <v>0</v>
      </c>
      <c r="I737">
        <f>VLOOKUP(A737,[2]Sheet1!$A:$D,4,FALSE)</f>
        <v>4</v>
      </c>
      <c r="J737" t="str">
        <f>VLOOKUP(A737,[3]Sheet1!$A:$C,2,FALSE)</f>
        <v>OBS1</v>
      </c>
      <c r="K737" t="str">
        <f>VLOOKUP(A737,[3]Sheet1!$A:$C,3,FALSE)</f>
        <v>T2</v>
      </c>
    </row>
    <row r="738" spans="1:11" x14ac:dyDescent="0.25">
      <c r="A738" s="2" t="s">
        <v>741</v>
      </c>
      <c r="B738">
        <v>45</v>
      </c>
      <c r="C738" t="s">
        <v>4</v>
      </c>
      <c r="D738" t="str">
        <f>VLOOKUP(A738,[1]Sheet1!$A:$D,2,FALSE)</f>
        <v>GE MEDICAL SYSTEMS</v>
      </c>
      <c r="E738" t="str">
        <f>VLOOKUP(A738,[1]Sheet1!$A:$D,3,FALSE)</f>
        <v>DISCOVERY MR750</v>
      </c>
      <c r="F738">
        <f>VLOOKUP(A738,[1]Sheet1!$A:$D,4,FALSE)</f>
        <v>3</v>
      </c>
      <c r="G738">
        <f>VLOOKUP(A738,[2]Sheet1!$A:$D,2,FALSE)</f>
        <v>1</v>
      </c>
      <c r="H738">
        <f>VLOOKUP(A738,[2]Sheet1!$A:$D,3,FALSE)</f>
        <v>0</v>
      </c>
      <c r="I738">
        <f>VLOOKUP(A738,[2]Sheet1!$A:$D,4,FALSE)</f>
        <v>2</v>
      </c>
      <c r="J738" t="str">
        <f>VLOOKUP(A738,[3]Sheet1!$A:$C,2,FALSE)</f>
        <v>OBS1</v>
      </c>
      <c r="K738" t="str">
        <f>VLOOKUP(A738,[3]Sheet1!$A:$C,3,FALSE)</f>
        <v>FLAIR</v>
      </c>
    </row>
    <row r="739" spans="1:11" x14ac:dyDescent="0.25">
      <c r="A739" s="2" t="s">
        <v>742</v>
      </c>
      <c r="B739">
        <v>50</v>
      </c>
      <c r="C739" t="s">
        <v>7</v>
      </c>
      <c r="D739" t="str">
        <f>VLOOKUP(A739,[1]Sheet1!$A:$D,2,FALSE)</f>
        <v>Philips Medical Systems</v>
      </c>
      <c r="E739" t="str">
        <f>VLOOKUP(A739,[1]Sheet1!$A:$D,3,FALSE)</f>
        <v>Intera</v>
      </c>
      <c r="F739">
        <f>VLOOKUP(A739,[1]Sheet1!$A:$D,4,FALSE)</f>
        <v>1.5</v>
      </c>
      <c r="G739">
        <f>VLOOKUP(A739,[2]Sheet1!$A:$D,2,FALSE)</f>
        <v>0</v>
      </c>
      <c r="H739">
        <f>VLOOKUP(A739,[2]Sheet1!$A:$D,3,FALSE)</f>
        <v>-1</v>
      </c>
      <c r="I739">
        <f>VLOOKUP(A739,[2]Sheet1!$A:$D,4,FALSE)</f>
        <v>4</v>
      </c>
      <c r="J739" t="str">
        <f>VLOOKUP(A739,[3]Sheet1!$A:$C,2,FALSE)</f>
        <v>OBS1</v>
      </c>
      <c r="K739" t="str">
        <f>VLOOKUP(A739,[3]Sheet1!$A:$C,3,FALSE)</f>
        <v>T2</v>
      </c>
    </row>
    <row r="740" spans="1:11" x14ac:dyDescent="0.25">
      <c r="A740" s="2" t="s">
        <v>743</v>
      </c>
      <c r="B740">
        <v>37</v>
      </c>
      <c r="C740" t="s">
        <v>7</v>
      </c>
      <c r="D740" t="str">
        <f>VLOOKUP(A740,[1]Sheet1!$A:$D,2,FALSE)</f>
        <v>GE MEDICAL SYSTEMS</v>
      </c>
      <c r="E740" t="str">
        <f>VLOOKUP(A740,[1]Sheet1!$A:$D,3,FALSE)</f>
        <v>DISCOVERY MR750</v>
      </c>
      <c r="F740">
        <f>VLOOKUP(A740,[1]Sheet1!$A:$D,4,FALSE)</f>
        <v>3</v>
      </c>
      <c r="G740">
        <f>VLOOKUP(A740,[2]Sheet1!$A:$D,2,FALSE)</f>
        <v>1</v>
      </c>
      <c r="H740">
        <f>VLOOKUP(A740,[2]Sheet1!$A:$D,3,FALSE)</f>
        <v>1</v>
      </c>
      <c r="I740">
        <f>VLOOKUP(A740,[2]Sheet1!$A:$D,4,FALSE)</f>
        <v>2</v>
      </c>
      <c r="J740" t="str">
        <f>VLOOKUP(A740,[3]Sheet1!$A:$C,2,FALSE)</f>
        <v>OBS1</v>
      </c>
      <c r="K740" t="str">
        <f>VLOOKUP(A740,[3]Sheet1!$A:$C,3,FALSE)</f>
        <v>FLAIR</v>
      </c>
    </row>
    <row r="741" spans="1:11" x14ac:dyDescent="0.25">
      <c r="A741" s="2" t="s">
        <v>744</v>
      </c>
      <c r="B741">
        <v>66</v>
      </c>
      <c r="C741" t="s">
        <v>7</v>
      </c>
      <c r="D741" t="str">
        <f>VLOOKUP(A741,[1]Sheet1!$A:$D,2,FALSE)</f>
        <v>Philips Medical Systems</v>
      </c>
      <c r="E741" t="str">
        <f>VLOOKUP(A741,[1]Sheet1!$A:$D,3,FALSE)</f>
        <v>Achieva</v>
      </c>
      <c r="F741">
        <f>VLOOKUP(A741,[1]Sheet1!$A:$D,4,FALSE)</f>
        <v>1.5</v>
      </c>
      <c r="G741">
        <f>VLOOKUP(A741,[2]Sheet1!$A:$D,2,FALSE)</f>
        <v>-1</v>
      </c>
      <c r="H741">
        <f>VLOOKUP(A741,[2]Sheet1!$A:$D,3,FALSE)</f>
        <v>-1</v>
      </c>
      <c r="I741">
        <f>VLOOKUP(A741,[2]Sheet1!$A:$D,4,FALSE)</f>
        <v>4</v>
      </c>
      <c r="J741" t="str">
        <f>VLOOKUP(A741,[3]Sheet1!$A:$C,2,FALSE)</f>
        <v>OBS1</v>
      </c>
      <c r="K741" t="str">
        <f>VLOOKUP(A741,[3]Sheet1!$A:$C,3,FALSE)</f>
        <v>T2</v>
      </c>
    </row>
    <row r="742" spans="1:11" x14ac:dyDescent="0.25">
      <c r="A742" s="2" t="s">
        <v>745</v>
      </c>
      <c r="B742">
        <v>-1</v>
      </c>
      <c r="C742" t="s">
        <v>4</v>
      </c>
      <c r="D742" t="str">
        <f>VLOOKUP(A742,[1]Sheet1!$A:$D,2,FALSE)</f>
        <v>SIEMENS</v>
      </c>
      <c r="E742" t="str">
        <f>VLOOKUP(A742,[1]Sheet1!$A:$D,3,FALSE)</f>
        <v>Aera</v>
      </c>
      <c r="F742">
        <f>VLOOKUP(A742,[1]Sheet1!$A:$D,4,FALSE)</f>
        <v>1.5</v>
      </c>
      <c r="G742">
        <f>VLOOKUP(A742,[2]Sheet1!$A:$D,2,FALSE)</f>
        <v>0</v>
      </c>
      <c r="H742">
        <f>VLOOKUP(A742,[2]Sheet1!$A:$D,3,FALSE)</f>
        <v>-1</v>
      </c>
      <c r="I742">
        <f>VLOOKUP(A742,[2]Sheet1!$A:$D,4,FALSE)</f>
        <v>-1</v>
      </c>
      <c r="J742" t="str">
        <f>VLOOKUP(A742,[3]Sheet1!$A:$C,2,FALSE)</f>
        <v>AUTO</v>
      </c>
      <c r="K742" t="str">
        <f>VLOOKUP(A742,[3]Sheet1!$A:$C,3,FALSE)</f>
        <v>ALL</v>
      </c>
    </row>
    <row r="743" spans="1:11" x14ac:dyDescent="0.25">
      <c r="A743" s="2" t="s">
        <v>746</v>
      </c>
      <c r="B743">
        <v>62</v>
      </c>
      <c r="C743" t="s">
        <v>4</v>
      </c>
      <c r="D743" t="str">
        <f>VLOOKUP(A743,[1]Sheet1!$A:$D,2,FALSE)</f>
        <v>SIEMENS</v>
      </c>
      <c r="E743" t="str">
        <f>VLOOKUP(A743,[1]Sheet1!$A:$D,3,FALSE)</f>
        <v>Avanto</v>
      </c>
      <c r="F743">
        <f>VLOOKUP(A743,[1]Sheet1!$A:$D,4,FALSE)</f>
        <v>1.5</v>
      </c>
      <c r="G743">
        <f>VLOOKUP(A743,[2]Sheet1!$A:$D,2,FALSE)</f>
        <v>0</v>
      </c>
      <c r="H743">
        <f>VLOOKUP(A743,[2]Sheet1!$A:$D,3,FALSE)</f>
        <v>-1</v>
      </c>
      <c r="I743">
        <f>VLOOKUP(A743,[2]Sheet1!$A:$D,4,FALSE)</f>
        <v>4</v>
      </c>
      <c r="J743" t="str">
        <f>VLOOKUP(A743,[3]Sheet1!$A:$C,2,FALSE)</f>
        <v>OBS1</v>
      </c>
      <c r="K743" t="str">
        <f>VLOOKUP(A743,[3]Sheet1!$A:$C,3,FALSE)</f>
        <v>T2</v>
      </c>
    </row>
    <row r="744" spans="1:11" x14ac:dyDescent="0.25">
      <c r="A744" s="2" t="s">
        <v>747</v>
      </c>
      <c r="B744">
        <v>75</v>
      </c>
      <c r="C744" t="s">
        <v>4</v>
      </c>
      <c r="D744" t="str">
        <f>VLOOKUP(A744,[1]Sheet1!$A:$D,2,FALSE)</f>
        <v>Philips Medical Systems</v>
      </c>
      <c r="E744" t="str">
        <f>VLOOKUP(A744,[1]Sheet1!$A:$D,3,FALSE)</f>
        <v>Intera</v>
      </c>
      <c r="F744">
        <f>VLOOKUP(A744,[1]Sheet1!$A:$D,4,FALSE)</f>
        <v>1.5</v>
      </c>
      <c r="G744">
        <f>VLOOKUP(A744,[2]Sheet1!$A:$D,2,FALSE)</f>
        <v>-1</v>
      </c>
      <c r="H744">
        <f>VLOOKUP(A744,[2]Sheet1!$A:$D,3,FALSE)</f>
        <v>-1</v>
      </c>
      <c r="I744">
        <f>VLOOKUP(A744,[2]Sheet1!$A:$D,4,FALSE)</f>
        <v>4</v>
      </c>
      <c r="J744" t="str">
        <f>VLOOKUP(A744,[3]Sheet1!$A:$C,2,FALSE)</f>
        <v>AUTO</v>
      </c>
      <c r="K744" t="str">
        <f>VLOOKUP(A744,[3]Sheet1!$A:$C,3,FALSE)</f>
        <v>ALL</v>
      </c>
    </row>
    <row r="745" spans="1:11" x14ac:dyDescent="0.25">
      <c r="A745" s="2" t="s">
        <v>748</v>
      </c>
      <c r="B745">
        <v>36</v>
      </c>
      <c r="C745" t="s">
        <v>4</v>
      </c>
      <c r="D745" t="str">
        <f>VLOOKUP(A745,[1]Sheet1!$A:$D,2,FALSE)</f>
        <v>GE MEDICAL SYSTEMS</v>
      </c>
      <c r="E745" t="str">
        <f>VLOOKUP(A745,[1]Sheet1!$A:$D,3,FALSE)</f>
        <v>DISCOVERY MR450</v>
      </c>
      <c r="F745">
        <f>VLOOKUP(A745,[1]Sheet1!$A:$D,4,FALSE)</f>
        <v>1.5</v>
      </c>
      <c r="G745">
        <f>VLOOKUP(A745,[2]Sheet1!$A:$D,2,FALSE)</f>
        <v>1</v>
      </c>
      <c r="H745">
        <f>VLOOKUP(A745,[2]Sheet1!$A:$D,3,FALSE)</f>
        <v>0</v>
      </c>
      <c r="I745">
        <f>VLOOKUP(A745,[2]Sheet1!$A:$D,4,FALSE)</f>
        <v>2</v>
      </c>
      <c r="J745" t="str">
        <f>VLOOKUP(A745,[3]Sheet1!$A:$C,2,FALSE)</f>
        <v>OBS1</v>
      </c>
      <c r="K745" t="str">
        <f>VLOOKUP(A745,[3]Sheet1!$A:$C,3,FALSE)</f>
        <v>T2</v>
      </c>
    </row>
    <row r="746" spans="1:11" x14ac:dyDescent="0.25">
      <c r="A746" s="2" t="s">
        <v>749</v>
      </c>
      <c r="B746">
        <v>61</v>
      </c>
      <c r="C746" t="s">
        <v>4</v>
      </c>
      <c r="D746" t="str">
        <f>VLOOKUP(A746,[1]Sheet1!$A:$D,2,FALSE)</f>
        <v>Philips Medical Systems</v>
      </c>
      <c r="E746" t="str">
        <f>VLOOKUP(A746,[1]Sheet1!$A:$D,3,FALSE)</f>
        <v>Intera</v>
      </c>
      <c r="F746">
        <f>VLOOKUP(A746,[1]Sheet1!$A:$D,4,FALSE)</f>
        <v>1.5</v>
      </c>
      <c r="G746">
        <f>VLOOKUP(A746,[2]Sheet1!$A:$D,2,FALSE)</f>
        <v>0</v>
      </c>
      <c r="H746">
        <f>VLOOKUP(A746,[2]Sheet1!$A:$D,3,FALSE)</f>
        <v>-1</v>
      </c>
      <c r="I746">
        <f>VLOOKUP(A746,[2]Sheet1!$A:$D,4,FALSE)</f>
        <v>4</v>
      </c>
      <c r="J746" t="str">
        <f>VLOOKUP(A746,[3]Sheet1!$A:$C,2,FALSE)</f>
        <v>OBS1</v>
      </c>
      <c r="K746" t="str">
        <f>VLOOKUP(A746,[3]Sheet1!$A:$C,3,FALSE)</f>
        <v>FLAIR</v>
      </c>
    </row>
    <row r="747" spans="1:11" x14ac:dyDescent="0.25">
      <c r="A747" s="2" t="s">
        <v>750</v>
      </c>
      <c r="B747">
        <v>55</v>
      </c>
      <c r="C747" t="s">
        <v>4</v>
      </c>
      <c r="D747" t="str">
        <f>VLOOKUP(A747,[1]Sheet1!$A:$D,2,FALSE)</f>
        <v>SIEMENS</v>
      </c>
      <c r="E747" t="str">
        <f>VLOOKUP(A747,[1]Sheet1!$A:$D,3,FALSE)</f>
        <v>Harmony</v>
      </c>
      <c r="F747">
        <f>VLOOKUP(A747,[1]Sheet1!$A:$D,4,FALSE)</f>
        <v>1</v>
      </c>
      <c r="G747">
        <f>VLOOKUP(A747,[2]Sheet1!$A:$D,2,FALSE)</f>
        <v>-1</v>
      </c>
      <c r="H747">
        <f>VLOOKUP(A747,[2]Sheet1!$A:$D,3,FALSE)</f>
        <v>-1</v>
      </c>
      <c r="I747">
        <f>VLOOKUP(A747,[2]Sheet1!$A:$D,4,FALSE)</f>
        <v>4</v>
      </c>
      <c r="J747" t="str">
        <f>VLOOKUP(A747,[3]Sheet1!$A:$C,2,FALSE)</f>
        <v>AUTO</v>
      </c>
      <c r="K747" t="str">
        <f>VLOOKUP(A747,[3]Sheet1!$A:$C,3,FALSE)</f>
        <v>ALL</v>
      </c>
    </row>
    <row r="748" spans="1:11" x14ac:dyDescent="0.25">
      <c r="A748" s="2" t="s">
        <v>751</v>
      </c>
      <c r="B748">
        <v>74</v>
      </c>
      <c r="C748" t="s">
        <v>7</v>
      </c>
      <c r="D748" t="str">
        <f>VLOOKUP(A748,[1]Sheet1!$A:$D,2,FALSE)</f>
        <v>Philips Medical Systems</v>
      </c>
      <c r="E748" t="str">
        <f>VLOOKUP(A748,[1]Sheet1!$A:$D,3,FALSE)</f>
        <v>Intera</v>
      </c>
      <c r="F748">
        <f>VLOOKUP(A748,[1]Sheet1!$A:$D,4,FALSE)</f>
        <v>1.5</v>
      </c>
      <c r="G748">
        <f>VLOOKUP(A748,[2]Sheet1!$A:$D,2,FALSE)</f>
        <v>0</v>
      </c>
      <c r="H748">
        <f>VLOOKUP(A748,[2]Sheet1!$A:$D,3,FALSE)</f>
        <v>-1</v>
      </c>
      <c r="I748">
        <f>VLOOKUP(A748,[2]Sheet1!$A:$D,4,FALSE)</f>
        <v>4</v>
      </c>
      <c r="J748" t="str">
        <f>VLOOKUP(A748,[3]Sheet1!$A:$C,2,FALSE)</f>
        <v>AUTO</v>
      </c>
      <c r="K748" t="str">
        <f>VLOOKUP(A748,[3]Sheet1!$A:$C,3,FALSE)</f>
        <v>ALL</v>
      </c>
    </row>
    <row r="749" spans="1:11" x14ac:dyDescent="0.25">
      <c r="A749" s="2" t="s">
        <v>752</v>
      </c>
      <c r="B749">
        <v>61</v>
      </c>
      <c r="C749" t="s">
        <v>4</v>
      </c>
      <c r="D749" t="str">
        <f>VLOOKUP(A749,[1]Sheet1!$A:$D,2,FALSE)</f>
        <v>SIEMENS</v>
      </c>
      <c r="E749" t="str">
        <f>VLOOKUP(A749,[1]Sheet1!$A:$D,3,FALSE)</f>
        <v>MAGNETOM Harmony</v>
      </c>
      <c r="F749">
        <f>VLOOKUP(A749,[1]Sheet1!$A:$D,4,FALSE)</f>
        <v>1</v>
      </c>
      <c r="G749">
        <f>VLOOKUP(A749,[2]Sheet1!$A:$D,2,FALSE)</f>
        <v>-1</v>
      </c>
      <c r="H749">
        <f>VLOOKUP(A749,[2]Sheet1!$A:$D,3,FALSE)</f>
        <v>-1</v>
      </c>
      <c r="I749">
        <f>VLOOKUP(A749,[2]Sheet1!$A:$D,4,FALSE)</f>
        <v>4</v>
      </c>
      <c r="J749" t="str">
        <f>VLOOKUP(A749,[3]Sheet1!$A:$C,2,FALSE)</f>
        <v>AUTO</v>
      </c>
      <c r="K749" t="str">
        <f>VLOOKUP(A749,[3]Sheet1!$A:$C,3,FALSE)</f>
        <v>ALL</v>
      </c>
    </row>
    <row r="750" spans="1:11" x14ac:dyDescent="0.25">
      <c r="A750" s="2" t="s">
        <v>753</v>
      </c>
      <c r="B750">
        <v>54</v>
      </c>
      <c r="C750" t="s">
        <v>4</v>
      </c>
      <c r="D750" t="str">
        <f>VLOOKUP(A750,[1]Sheet1!$A:$D,2,FALSE)</f>
        <v>GE MEDICAL SYSTEMS</v>
      </c>
      <c r="E750" t="str">
        <f>VLOOKUP(A750,[1]Sheet1!$A:$D,3,FALSE)</f>
        <v>DISCOVERY MR450</v>
      </c>
      <c r="F750">
        <f>VLOOKUP(A750,[1]Sheet1!$A:$D,4,FALSE)</f>
        <v>1.5</v>
      </c>
      <c r="G750">
        <f>VLOOKUP(A750,[2]Sheet1!$A:$D,2,FALSE)</f>
        <v>-1</v>
      </c>
      <c r="H750">
        <f>VLOOKUP(A750,[2]Sheet1!$A:$D,3,FALSE)</f>
        <v>-1</v>
      </c>
      <c r="I750">
        <f>VLOOKUP(A750,[2]Sheet1!$A:$D,4,FALSE)</f>
        <v>4</v>
      </c>
      <c r="J750" t="str">
        <f>VLOOKUP(A750,[3]Sheet1!$A:$C,2,FALSE)</f>
        <v>AUTO</v>
      </c>
      <c r="K750" t="str">
        <f>VLOOKUP(A750,[3]Sheet1!$A:$C,3,FALSE)</f>
        <v>ALL</v>
      </c>
    </row>
    <row r="751" spans="1:11" x14ac:dyDescent="0.25">
      <c r="A751" s="2" t="s">
        <v>754</v>
      </c>
      <c r="B751">
        <v>36</v>
      </c>
      <c r="C751" t="s">
        <v>4</v>
      </c>
      <c r="D751" t="str">
        <f>VLOOKUP(A751,[1]Sheet1!$A:$D,2,FALSE)</f>
        <v>SIEMENS</v>
      </c>
      <c r="E751" t="str">
        <f>VLOOKUP(A751,[1]Sheet1!$A:$D,3,FALSE)</f>
        <v>Avanto</v>
      </c>
      <c r="F751">
        <f>VLOOKUP(A751,[1]Sheet1!$A:$D,4,FALSE)</f>
        <v>1.5</v>
      </c>
      <c r="G751">
        <f>VLOOKUP(A751,[2]Sheet1!$A:$D,2,FALSE)</f>
        <v>-1</v>
      </c>
      <c r="H751">
        <f>VLOOKUP(A751,[2]Sheet1!$A:$D,3,FALSE)</f>
        <v>-1</v>
      </c>
      <c r="I751">
        <f>VLOOKUP(A751,[2]Sheet1!$A:$D,4,FALSE)</f>
        <v>4</v>
      </c>
      <c r="J751" t="str">
        <f>VLOOKUP(A751,[3]Sheet1!$A:$C,2,FALSE)</f>
        <v>AUTO</v>
      </c>
      <c r="K751" t="str">
        <f>VLOOKUP(A751,[3]Sheet1!$A:$C,3,FALSE)</f>
        <v>ALL</v>
      </c>
    </row>
    <row r="752" spans="1:11" x14ac:dyDescent="0.25">
      <c r="A752" s="2" t="s">
        <v>755</v>
      </c>
      <c r="B752">
        <v>63</v>
      </c>
      <c r="C752" t="s">
        <v>4</v>
      </c>
      <c r="D752" t="str">
        <f>VLOOKUP(A752,[1]Sheet1!$A:$D,2,FALSE)</f>
        <v>Philips Medical Systems</v>
      </c>
      <c r="E752" t="str">
        <f>VLOOKUP(A752,[1]Sheet1!$A:$D,3,FALSE)</f>
        <v>Intera</v>
      </c>
      <c r="F752">
        <f>VLOOKUP(A752,[1]Sheet1!$A:$D,4,FALSE)</f>
        <v>1</v>
      </c>
      <c r="G752">
        <f>VLOOKUP(A752,[2]Sheet1!$A:$D,2,FALSE)</f>
        <v>-1</v>
      </c>
      <c r="H752">
        <f>VLOOKUP(A752,[2]Sheet1!$A:$D,3,FALSE)</f>
        <v>-1</v>
      </c>
      <c r="I752">
        <f>VLOOKUP(A752,[2]Sheet1!$A:$D,4,FALSE)</f>
        <v>4</v>
      </c>
      <c r="J752" t="str">
        <f>VLOOKUP(A752,[3]Sheet1!$A:$C,2,FALSE)</f>
        <v>AUTO</v>
      </c>
      <c r="K752" t="str">
        <f>VLOOKUP(A752,[3]Sheet1!$A:$C,3,FALSE)</f>
        <v>ALL</v>
      </c>
    </row>
    <row r="753" spans="1:11" x14ac:dyDescent="0.25">
      <c r="A753" s="2" t="s">
        <v>756</v>
      </c>
      <c r="B753">
        <v>75</v>
      </c>
      <c r="C753" t="s">
        <v>7</v>
      </c>
      <c r="D753" t="str">
        <f>VLOOKUP(A753,[1]Sheet1!$A:$D,2,FALSE)</f>
        <v>GE MEDICAL SYSTEMS</v>
      </c>
      <c r="E753" t="str">
        <f>VLOOKUP(A753,[1]Sheet1!$A:$D,3,FALSE)</f>
        <v>DISCOVERY MR750</v>
      </c>
      <c r="F753">
        <f>VLOOKUP(A753,[1]Sheet1!$A:$D,4,FALSE)</f>
        <v>3</v>
      </c>
      <c r="G753">
        <f>VLOOKUP(A753,[2]Sheet1!$A:$D,2,FALSE)</f>
        <v>-1</v>
      </c>
      <c r="H753">
        <f>VLOOKUP(A753,[2]Sheet1!$A:$D,3,FALSE)</f>
        <v>-1</v>
      </c>
      <c r="I753">
        <f>VLOOKUP(A753,[2]Sheet1!$A:$D,4,FALSE)</f>
        <v>4</v>
      </c>
      <c r="J753" t="str">
        <f>VLOOKUP(A753,[3]Sheet1!$A:$C,2,FALSE)</f>
        <v>OBS1</v>
      </c>
      <c r="K753" t="str">
        <f>VLOOKUP(A753,[3]Sheet1!$A:$C,3,FALSE)</f>
        <v>T2</v>
      </c>
    </row>
    <row r="754" spans="1:11" x14ac:dyDescent="0.25">
      <c r="A754" s="2" t="s">
        <v>757</v>
      </c>
      <c r="B754">
        <v>51</v>
      </c>
      <c r="C754" t="s">
        <v>4</v>
      </c>
      <c r="D754" t="str">
        <f>VLOOKUP(A754,[1]Sheet1!$A:$D,2,FALSE)</f>
        <v>SIEMENS</v>
      </c>
      <c r="E754" t="str">
        <f>VLOOKUP(A754,[1]Sheet1!$A:$D,3,FALSE)</f>
        <v>Avanto</v>
      </c>
      <c r="F754">
        <f>VLOOKUP(A754,[1]Sheet1!$A:$D,4,FALSE)</f>
        <v>1.5</v>
      </c>
      <c r="G754">
        <f>VLOOKUP(A754,[2]Sheet1!$A:$D,2,FALSE)</f>
        <v>0</v>
      </c>
      <c r="H754">
        <f>VLOOKUP(A754,[2]Sheet1!$A:$D,3,FALSE)</f>
        <v>0</v>
      </c>
      <c r="I754">
        <f>VLOOKUP(A754,[2]Sheet1!$A:$D,4,FALSE)</f>
        <v>4</v>
      </c>
      <c r="J754" t="str">
        <f>VLOOKUP(A754,[3]Sheet1!$A:$C,2,FALSE)</f>
        <v>OBS1</v>
      </c>
      <c r="K754" t="str">
        <f>VLOOKUP(A754,[3]Sheet1!$A:$C,3,FALSE)</f>
        <v>T2</v>
      </c>
    </row>
    <row r="755" spans="1:11" x14ac:dyDescent="0.25">
      <c r="A755" s="2" t="s">
        <v>758</v>
      </c>
      <c r="B755">
        <v>53</v>
      </c>
      <c r="C755" t="s">
        <v>4</v>
      </c>
      <c r="D755" t="str">
        <f>VLOOKUP(A755,[1]Sheet1!$A:$D,2,FALSE)</f>
        <v>Philips Medical Systems</v>
      </c>
      <c r="E755" t="str">
        <f>VLOOKUP(A755,[1]Sheet1!$A:$D,3,FALSE)</f>
        <v>Intera</v>
      </c>
      <c r="F755">
        <f>VLOOKUP(A755,[1]Sheet1!$A:$D,4,FALSE)</f>
        <v>1.5</v>
      </c>
      <c r="G755">
        <f>VLOOKUP(A755,[2]Sheet1!$A:$D,2,FALSE)</f>
        <v>0</v>
      </c>
      <c r="H755">
        <f>VLOOKUP(A755,[2]Sheet1!$A:$D,3,FALSE)</f>
        <v>-1</v>
      </c>
      <c r="I755">
        <f>VLOOKUP(A755,[2]Sheet1!$A:$D,4,FALSE)</f>
        <v>4</v>
      </c>
      <c r="J755" t="str">
        <f>VLOOKUP(A755,[3]Sheet1!$A:$C,2,FALSE)</f>
        <v>OBS1</v>
      </c>
      <c r="K755" t="str">
        <f>VLOOKUP(A755,[3]Sheet1!$A:$C,3,FALSE)</f>
        <v>T2</v>
      </c>
    </row>
    <row r="756" spans="1:11" x14ac:dyDescent="0.25">
      <c r="A756" s="2" t="s">
        <v>759</v>
      </c>
      <c r="B756">
        <v>78</v>
      </c>
      <c r="C756" t="s">
        <v>4</v>
      </c>
      <c r="D756" t="str">
        <f>VLOOKUP(A756,[1]Sheet1!$A:$D,2,FALSE)</f>
        <v>Philips Medical Systems</v>
      </c>
      <c r="E756" t="str">
        <f>VLOOKUP(A756,[1]Sheet1!$A:$D,3,FALSE)</f>
        <v>Intera</v>
      </c>
      <c r="F756">
        <f>VLOOKUP(A756,[1]Sheet1!$A:$D,4,FALSE)</f>
        <v>1</v>
      </c>
      <c r="G756">
        <f>VLOOKUP(A756,[2]Sheet1!$A:$D,2,FALSE)</f>
        <v>-1</v>
      </c>
      <c r="H756">
        <f>VLOOKUP(A756,[2]Sheet1!$A:$D,3,FALSE)</f>
        <v>-1</v>
      </c>
      <c r="I756">
        <f>VLOOKUP(A756,[2]Sheet1!$A:$D,4,FALSE)</f>
        <v>4</v>
      </c>
      <c r="J756" t="str">
        <f>VLOOKUP(A756,[3]Sheet1!$A:$C,2,FALSE)</f>
        <v>AUTO</v>
      </c>
      <c r="K756" t="str">
        <f>VLOOKUP(A756,[3]Sheet1!$A:$C,3,FALSE)</f>
        <v>ALL</v>
      </c>
    </row>
    <row r="757" spans="1:11" x14ac:dyDescent="0.25">
      <c r="A757" s="2" t="s">
        <v>760</v>
      </c>
      <c r="B757">
        <v>73</v>
      </c>
      <c r="C757" t="s">
        <v>4</v>
      </c>
      <c r="D757" t="str">
        <f>VLOOKUP(A757,[1]Sheet1!$A:$D,2,FALSE)</f>
        <v>Philips Medical Systems</v>
      </c>
      <c r="E757" t="str">
        <f>VLOOKUP(A757,[1]Sheet1!$A:$D,3,FALSE)</f>
        <v>Intera</v>
      </c>
      <c r="F757">
        <f>VLOOKUP(A757,[1]Sheet1!$A:$D,4,FALSE)</f>
        <v>1.5</v>
      </c>
      <c r="G757">
        <f>VLOOKUP(A757,[2]Sheet1!$A:$D,2,FALSE)</f>
        <v>-1</v>
      </c>
      <c r="H757">
        <f>VLOOKUP(A757,[2]Sheet1!$A:$D,3,FALSE)</f>
        <v>-1</v>
      </c>
      <c r="I757">
        <f>VLOOKUP(A757,[2]Sheet1!$A:$D,4,FALSE)</f>
        <v>4</v>
      </c>
      <c r="J757" t="str">
        <f>VLOOKUP(A757,[3]Sheet1!$A:$C,2,FALSE)</f>
        <v>AUTO</v>
      </c>
      <c r="K757" t="str">
        <f>VLOOKUP(A757,[3]Sheet1!$A:$C,3,FALSE)</f>
        <v>ALL</v>
      </c>
    </row>
    <row r="758" spans="1:11" x14ac:dyDescent="0.25">
      <c r="A758" s="2" t="s">
        <v>761</v>
      </c>
      <c r="B758">
        <v>30</v>
      </c>
      <c r="C758" t="s">
        <v>7</v>
      </c>
      <c r="D758" t="str">
        <f>VLOOKUP(A758,[1]Sheet1!$A:$D,2,FALSE)</f>
        <v>Philips Medical Systems</v>
      </c>
      <c r="E758" t="str">
        <f>VLOOKUP(A758,[1]Sheet1!$A:$D,3,FALSE)</f>
        <v>NT Intera</v>
      </c>
      <c r="F758">
        <f>VLOOKUP(A758,[1]Sheet1!$A:$D,4,FALSE)</f>
        <v>1.5</v>
      </c>
      <c r="G758">
        <f>VLOOKUP(A758,[2]Sheet1!$A:$D,2,FALSE)</f>
        <v>1</v>
      </c>
      <c r="H758">
        <f>VLOOKUP(A758,[2]Sheet1!$A:$D,3,FALSE)</f>
        <v>0</v>
      </c>
      <c r="I758">
        <f>VLOOKUP(A758,[2]Sheet1!$A:$D,4,FALSE)</f>
        <v>3</v>
      </c>
      <c r="J758" t="str">
        <f>VLOOKUP(A758,[3]Sheet1!$A:$C,2,FALSE)</f>
        <v>AUTO</v>
      </c>
      <c r="K758" t="str">
        <f>VLOOKUP(A758,[3]Sheet1!$A:$C,3,FALSE)</f>
        <v>ALL</v>
      </c>
    </row>
    <row r="759" spans="1:11" x14ac:dyDescent="0.25">
      <c r="A759" s="2" t="s">
        <v>762</v>
      </c>
      <c r="B759">
        <v>28</v>
      </c>
      <c r="C759" t="s">
        <v>4</v>
      </c>
      <c r="D759" t="str">
        <f>VLOOKUP(A759,[1]Sheet1!$A:$D,2,FALSE)</f>
        <v>SIEMENS</v>
      </c>
      <c r="E759" t="str">
        <f>VLOOKUP(A759,[1]Sheet1!$A:$D,3,FALSE)</f>
        <v>Symphony</v>
      </c>
      <c r="F759">
        <f>VLOOKUP(A759,[1]Sheet1!$A:$D,4,FALSE)</f>
        <v>1.5</v>
      </c>
      <c r="G759">
        <f>VLOOKUP(A759,[2]Sheet1!$A:$D,2,FALSE)</f>
        <v>1</v>
      </c>
      <c r="H759">
        <f>VLOOKUP(A759,[2]Sheet1!$A:$D,3,FALSE)</f>
        <v>0</v>
      </c>
      <c r="I759">
        <f>VLOOKUP(A759,[2]Sheet1!$A:$D,4,FALSE)</f>
        <v>2</v>
      </c>
      <c r="J759" t="str">
        <f>VLOOKUP(A759,[3]Sheet1!$A:$C,2,FALSE)</f>
        <v>OBS2</v>
      </c>
      <c r="K759" t="str">
        <f>VLOOKUP(A759,[3]Sheet1!$A:$C,3,FALSE)</f>
        <v>FLAIR</v>
      </c>
    </row>
    <row r="760" spans="1:11" x14ac:dyDescent="0.25">
      <c r="A760" s="2" t="s">
        <v>763</v>
      </c>
      <c r="B760">
        <v>48</v>
      </c>
      <c r="C760" t="s">
        <v>4</v>
      </c>
      <c r="D760" t="str">
        <f>VLOOKUP(A760,[1]Sheet1!$A:$D,2,FALSE)</f>
        <v>GE MEDICAL SYSTEMS</v>
      </c>
      <c r="E760" t="str">
        <f>VLOOKUP(A760,[1]Sheet1!$A:$D,3,FALSE)</f>
        <v>DISCOVERY MR450</v>
      </c>
      <c r="F760">
        <f>VLOOKUP(A760,[1]Sheet1!$A:$D,4,FALSE)</f>
        <v>1.5</v>
      </c>
      <c r="G760">
        <f>VLOOKUP(A760,[2]Sheet1!$A:$D,2,FALSE)</f>
        <v>0</v>
      </c>
      <c r="H760">
        <f>VLOOKUP(A760,[2]Sheet1!$A:$D,3,FALSE)</f>
        <v>-1</v>
      </c>
      <c r="I760">
        <f>VLOOKUP(A760,[2]Sheet1!$A:$D,4,FALSE)</f>
        <v>4</v>
      </c>
      <c r="J760" t="str">
        <f>VLOOKUP(A760,[3]Sheet1!$A:$C,2,FALSE)</f>
        <v>AUTO</v>
      </c>
      <c r="K760" t="str">
        <f>VLOOKUP(A760,[3]Sheet1!$A:$C,3,FALSE)</f>
        <v>ALL</v>
      </c>
    </row>
    <row r="761" spans="1:11" x14ac:dyDescent="0.25">
      <c r="A761" s="2" t="s">
        <v>764</v>
      </c>
      <c r="B761">
        <v>-1</v>
      </c>
      <c r="C761" t="s">
        <v>7</v>
      </c>
      <c r="D761" t="str">
        <f>VLOOKUP(A761,[1]Sheet1!$A:$D,2,FALSE)</f>
        <v>Philips Medical Systems</v>
      </c>
      <c r="E761">
        <f>VLOOKUP(A761,[1]Sheet1!$A:$D,3,FALSE)</f>
        <v>-1</v>
      </c>
      <c r="F761">
        <f>VLOOKUP(A761,[1]Sheet1!$A:$D,4,FALSE)</f>
        <v>-1</v>
      </c>
      <c r="G761">
        <f>VLOOKUP(A761,[2]Sheet1!$A:$D,2,FALSE)</f>
        <v>0</v>
      </c>
      <c r="H761">
        <f>VLOOKUP(A761,[2]Sheet1!$A:$D,3,FALSE)</f>
        <v>-1</v>
      </c>
      <c r="I761">
        <f>VLOOKUP(A761,[2]Sheet1!$A:$D,4,FALSE)</f>
        <v>-1</v>
      </c>
      <c r="J761" t="str">
        <f>VLOOKUP(A761,[3]Sheet1!$A:$C,2,FALSE)</f>
        <v>AUTO</v>
      </c>
      <c r="K761" t="str">
        <f>VLOOKUP(A761,[3]Sheet1!$A:$C,3,FALSE)</f>
        <v>ALL</v>
      </c>
    </row>
    <row r="762" spans="1:11" x14ac:dyDescent="0.25">
      <c r="A762" s="2" t="s">
        <v>765</v>
      </c>
      <c r="B762">
        <v>52</v>
      </c>
      <c r="C762" t="s">
        <v>4</v>
      </c>
      <c r="D762" t="str">
        <f>VLOOKUP(A762,[1]Sheet1!$A:$D,2,FALSE)</f>
        <v>SIEMENS</v>
      </c>
      <c r="E762" t="str">
        <f>VLOOKUP(A762,[1]Sheet1!$A:$D,3,FALSE)</f>
        <v>Symphony</v>
      </c>
      <c r="F762">
        <f>VLOOKUP(A762,[1]Sheet1!$A:$D,4,FALSE)</f>
        <v>1.5</v>
      </c>
      <c r="G762">
        <f>VLOOKUP(A762,[2]Sheet1!$A:$D,2,FALSE)</f>
        <v>-1</v>
      </c>
      <c r="H762">
        <f>VLOOKUP(A762,[2]Sheet1!$A:$D,3,FALSE)</f>
        <v>-1</v>
      </c>
      <c r="I762">
        <f>VLOOKUP(A762,[2]Sheet1!$A:$D,4,FALSE)</f>
        <v>4</v>
      </c>
      <c r="J762" t="str">
        <f>VLOOKUP(A762,[3]Sheet1!$A:$C,2,FALSE)</f>
        <v>AUTO</v>
      </c>
      <c r="K762" t="str">
        <f>VLOOKUP(A762,[3]Sheet1!$A:$C,3,FALSE)</f>
        <v>ALL</v>
      </c>
    </row>
    <row r="763" spans="1:11" x14ac:dyDescent="0.25">
      <c r="A763" s="2" t="s">
        <v>766</v>
      </c>
      <c r="B763">
        <v>65</v>
      </c>
      <c r="C763" t="s">
        <v>4</v>
      </c>
      <c r="D763" t="str">
        <f>VLOOKUP(A763,[1]Sheet1!$A:$D,2,FALSE)</f>
        <v>GE MEDICAL SYSTEMS</v>
      </c>
      <c r="E763" t="str">
        <f>VLOOKUP(A763,[1]Sheet1!$A:$D,3,FALSE)</f>
        <v>DISCOVERY MR450</v>
      </c>
      <c r="F763">
        <f>VLOOKUP(A763,[1]Sheet1!$A:$D,4,FALSE)</f>
        <v>1.5</v>
      </c>
      <c r="G763">
        <f>VLOOKUP(A763,[2]Sheet1!$A:$D,2,FALSE)</f>
        <v>0</v>
      </c>
      <c r="H763">
        <f>VLOOKUP(A763,[2]Sheet1!$A:$D,3,FALSE)</f>
        <v>0</v>
      </c>
      <c r="I763">
        <f>VLOOKUP(A763,[2]Sheet1!$A:$D,4,FALSE)</f>
        <v>4</v>
      </c>
      <c r="J763" t="str">
        <f>VLOOKUP(A763,[3]Sheet1!$A:$C,2,FALSE)</f>
        <v>OBS1</v>
      </c>
      <c r="K763" t="str">
        <f>VLOOKUP(A763,[3]Sheet1!$A:$C,3,FALSE)</f>
        <v>T2</v>
      </c>
    </row>
    <row r="764" spans="1:11" x14ac:dyDescent="0.25">
      <c r="A764" s="2" t="s">
        <v>767</v>
      </c>
      <c r="B764">
        <v>82</v>
      </c>
      <c r="C764" t="s">
        <v>4</v>
      </c>
      <c r="D764" t="str">
        <f>VLOOKUP(A764,[1]Sheet1!$A:$D,2,FALSE)</f>
        <v>GE MEDICAL SYSTEMS</v>
      </c>
      <c r="E764" t="str">
        <f>VLOOKUP(A764,[1]Sheet1!$A:$D,3,FALSE)</f>
        <v>DISCOVERY MR450</v>
      </c>
      <c r="F764">
        <f>VLOOKUP(A764,[1]Sheet1!$A:$D,4,FALSE)</f>
        <v>1.5</v>
      </c>
      <c r="G764">
        <f>VLOOKUP(A764,[2]Sheet1!$A:$D,2,FALSE)</f>
        <v>0</v>
      </c>
      <c r="H764">
        <f>VLOOKUP(A764,[2]Sheet1!$A:$D,3,FALSE)</f>
        <v>-1</v>
      </c>
      <c r="I764">
        <f>VLOOKUP(A764,[2]Sheet1!$A:$D,4,FALSE)</f>
        <v>4</v>
      </c>
      <c r="J764" t="str">
        <f>VLOOKUP(A764,[3]Sheet1!$A:$C,2,FALSE)</f>
        <v>OBS1</v>
      </c>
      <c r="K764" t="str">
        <f>VLOOKUP(A764,[3]Sheet1!$A:$C,3,FALSE)</f>
        <v>T2</v>
      </c>
    </row>
    <row r="765" spans="1:11" x14ac:dyDescent="0.25">
      <c r="A765" s="2" t="s">
        <v>768</v>
      </c>
      <c r="B765">
        <v>25</v>
      </c>
      <c r="C765" t="s">
        <v>7</v>
      </c>
      <c r="D765" t="str">
        <f>VLOOKUP(A765,[1]Sheet1!$A:$D,2,FALSE)</f>
        <v>Philips Medical Systems</v>
      </c>
      <c r="E765" t="str">
        <f>VLOOKUP(A765,[1]Sheet1!$A:$D,3,FALSE)</f>
        <v>Achieva</v>
      </c>
      <c r="F765">
        <f>VLOOKUP(A765,[1]Sheet1!$A:$D,4,FALSE)</f>
        <v>3</v>
      </c>
      <c r="G765">
        <f>VLOOKUP(A765,[2]Sheet1!$A:$D,2,FALSE)</f>
        <v>0</v>
      </c>
      <c r="H765">
        <f>VLOOKUP(A765,[2]Sheet1!$A:$D,3,FALSE)</f>
        <v>0</v>
      </c>
      <c r="I765">
        <f>VLOOKUP(A765,[2]Sheet1!$A:$D,4,FALSE)</f>
        <v>4</v>
      </c>
      <c r="J765" t="str">
        <f>VLOOKUP(A765,[3]Sheet1!$A:$C,2,FALSE)</f>
        <v>OBS1</v>
      </c>
      <c r="K765" t="str">
        <f>VLOOKUP(A765,[3]Sheet1!$A:$C,3,FALSE)</f>
        <v>T2</v>
      </c>
    </row>
    <row r="766" spans="1:11" x14ac:dyDescent="0.25">
      <c r="A766" s="2" t="s">
        <v>769</v>
      </c>
      <c r="B766">
        <v>57</v>
      </c>
      <c r="C766" t="s">
        <v>4</v>
      </c>
      <c r="D766" t="str">
        <f>VLOOKUP(A766,[1]Sheet1!$A:$D,2,FALSE)</f>
        <v>Philips Medical Systems</v>
      </c>
      <c r="E766" t="str">
        <f>VLOOKUP(A766,[1]Sheet1!$A:$D,3,FALSE)</f>
        <v>Achieva</v>
      </c>
      <c r="F766">
        <f>VLOOKUP(A766,[1]Sheet1!$A:$D,4,FALSE)</f>
        <v>1.5</v>
      </c>
      <c r="G766">
        <f>VLOOKUP(A766,[2]Sheet1!$A:$D,2,FALSE)</f>
        <v>0</v>
      </c>
      <c r="H766">
        <f>VLOOKUP(A766,[2]Sheet1!$A:$D,3,FALSE)</f>
        <v>-1</v>
      </c>
      <c r="I766">
        <f>VLOOKUP(A766,[2]Sheet1!$A:$D,4,FALSE)</f>
        <v>4</v>
      </c>
      <c r="J766" t="str">
        <f>VLOOKUP(A766,[3]Sheet1!$A:$C,2,FALSE)</f>
        <v>OBS1</v>
      </c>
      <c r="K766" t="str">
        <f>VLOOKUP(A766,[3]Sheet1!$A:$C,3,FALSE)</f>
        <v>T2</v>
      </c>
    </row>
    <row r="767" spans="1:11" x14ac:dyDescent="0.25">
      <c r="A767" s="2" t="s">
        <v>770</v>
      </c>
      <c r="B767">
        <v>-1</v>
      </c>
      <c r="C767" t="s">
        <v>7</v>
      </c>
      <c r="D767" t="str">
        <f>VLOOKUP(A767,[1]Sheet1!$A:$D,2,FALSE)</f>
        <v>SIEMENS</v>
      </c>
      <c r="E767" t="str">
        <f>VLOOKUP(A767,[1]Sheet1!$A:$D,3,FALSE)</f>
        <v>Aera</v>
      </c>
      <c r="F767">
        <f>VLOOKUP(A767,[1]Sheet1!$A:$D,4,FALSE)</f>
        <v>1.5</v>
      </c>
      <c r="G767">
        <f>VLOOKUP(A767,[2]Sheet1!$A:$D,2,FALSE)</f>
        <v>0</v>
      </c>
      <c r="H767">
        <f>VLOOKUP(A767,[2]Sheet1!$A:$D,3,FALSE)</f>
        <v>-1</v>
      </c>
      <c r="I767">
        <f>VLOOKUP(A767,[2]Sheet1!$A:$D,4,FALSE)</f>
        <v>-1</v>
      </c>
      <c r="J767" t="str">
        <f>VLOOKUP(A767,[3]Sheet1!$A:$C,2,FALSE)</f>
        <v>AUTO</v>
      </c>
      <c r="K767" t="str">
        <f>VLOOKUP(A767,[3]Sheet1!$A:$C,3,FALSE)</f>
        <v>ALL</v>
      </c>
    </row>
    <row r="768" spans="1:11" x14ac:dyDescent="0.25">
      <c r="A768" s="2" t="s">
        <v>771</v>
      </c>
      <c r="B768">
        <v>60</v>
      </c>
      <c r="C768" t="s">
        <v>4</v>
      </c>
      <c r="D768" t="str">
        <f>VLOOKUP(A768,[1]Sheet1!$A:$D,2,FALSE)</f>
        <v>SIEMENS</v>
      </c>
      <c r="E768" t="str">
        <f>VLOOKUP(A768,[1]Sheet1!$A:$D,3,FALSE)</f>
        <v>Avanto</v>
      </c>
      <c r="F768">
        <f>VLOOKUP(A768,[1]Sheet1!$A:$D,4,FALSE)</f>
        <v>1.5</v>
      </c>
      <c r="G768">
        <f>VLOOKUP(A768,[2]Sheet1!$A:$D,2,FALSE)</f>
        <v>-1</v>
      </c>
      <c r="H768">
        <f>VLOOKUP(A768,[2]Sheet1!$A:$D,3,FALSE)</f>
        <v>-1</v>
      </c>
      <c r="I768">
        <f>VLOOKUP(A768,[2]Sheet1!$A:$D,4,FALSE)</f>
        <v>4</v>
      </c>
      <c r="J768" t="str">
        <f>VLOOKUP(A768,[3]Sheet1!$A:$C,2,FALSE)</f>
        <v>AUTO</v>
      </c>
      <c r="K768" t="str">
        <f>VLOOKUP(A768,[3]Sheet1!$A:$C,3,FALSE)</f>
        <v>ALL</v>
      </c>
    </row>
    <row r="769" spans="1:11" x14ac:dyDescent="0.25">
      <c r="A769" s="2" t="s">
        <v>772</v>
      </c>
      <c r="B769">
        <v>56</v>
      </c>
      <c r="C769" t="s">
        <v>4</v>
      </c>
      <c r="D769" t="str">
        <f>VLOOKUP(A769,[1]Sheet1!$A:$D,2,FALSE)</f>
        <v>SIEMENS</v>
      </c>
      <c r="E769" t="str">
        <f>VLOOKUP(A769,[1]Sheet1!$A:$D,3,FALSE)</f>
        <v>Harmony</v>
      </c>
      <c r="F769">
        <f>VLOOKUP(A769,[1]Sheet1!$A:$D,4,FALSE)</f>
        <v>1</v>
      </c>
      <c r="G769">
        <f>VLOOKUP(A769,[2]Sheet1!$A:$D,2,FALSE)</f>
        <v>0</v>
      </c>
      <c r="H769">
        <f>VLOOKUP(A769,[2]Sheet1!$A:$D,3,FALSE)</f>
        <v>-1</v>
      </c>
      <c r="I769">
        <f>VLOOKUP(A769,[2]Sheet1!$A:$D,4,FALSE)</f>
        <v>4</v>
      </c>
      <c r="J769" t="str">
        <f>VLOOKUP(A769,[3]Sheet1!$A:$C,2,FALSE)</f>
        <v>OBS1</v>
      </c>
      <c r="K769" t="str">
        <f>VLOOKUP(A769,[3]Sheet1!$A:$C,3,FALSE)</f>
        <v>FLAIR</v>
      </c>
    </row>
    <row r="770" spans="1:11" x14ac:dyDescent="0.25">
      <c r="A770" s="2" t="s">
        <v>773</v>
      </c>
      <c r="B770">
        <v>36</v>
      </c>
      <c r="C770" t="s">
        <v>4</v>
      </c>
      <c r="D770" t="str">
        <f>VLOOKUP(A770,[1]Sheet1!$A:$D,2,FALSE)</f>
        <v>GE MEDICAL SYSTEMS</v>
      </c>
      <c r="E770" t="str">
        <f>VLOOKUP(A770,[1]Sheet1!$A:$D,3,FALSE)</f>
        <v>SIGNA HDx</v>
      </c>
      <c r="F770">
        <f>VLOOKUP(A770,[1]Sheet1!$A:$D,4,FALSE)</f>
        <v>1.5</v>
      </c>
      <c r="G770">
        <f>VLOOKUP(A770,[2]Sheet1!$A:$D,2,FALSE)</f>
        <v>-1</v>
      </c>
      <c r="H770">
        <f>VLOOKUP(A770,[2]Sheet1!$A:$D,3,FALSE)</f>
        <v>-1</v>
      </c>
      <c r="I770">
        <f>VLOOKUP(A770,[2]Sheet1!$A:$D,4,FALSE)</f>
        <v>3</v>
      </c>
      <c r="J770" t="str">
        <f>VLOOKUP(A770,[3]Sheet1!$A:$C,2,FALSE)</f>
        <v>AUTO</v>
      </c>
      <c r="K770" t="str">
        <f>VLOOKUP(A770,[3]Sheet1!$A:$C,3,FALSE)</f>
        <v>ALL</v>
      </c>
    </row>
    <row r="771" spans="1:11" x14ac:dyDescent="0.25">
      <c r="A771" s="2" t="s">
        <v>774</v>
      </c>
      <c r="B771">
        <v>75</v>
      </c>
      <c r="C771" t="s">
        <v>4</v>
      </c>
      <c r="D771" t="str">
        <f>VLOOKUP(A771,[1]Sheet1!$A:$D,2,FALSE)</f>
        <v>SIEMENS</v>
      </c>
      <c r="E771" t="str">
        <f>VLOOKUP(A771,[1]Sheet1!$A:$D,3,FALSE)</f>
        <v>Aera</v>
      </c>
      <c r="F771">
        <f>VLOOKUP(A771,[1]Sheet1!$A:$D,4,FALSE)</f>
        <v>1.5</v>
      </c>
      <c r="G771">
        <f>VLOOKUP(A771,[2]Sheet1!$A:$D,2,FALSE)</f>
        <v>-1</v>
      </c>
      <c r="H771">
        <f>VLOOKUP(A771,[2]Sheet1!$A:$D,3,FALSE)</f>
        <v>-1</v>
      </c>
      <c r="I771">
        <f>VLOOKUP(A771,[2]Sheet1!$A:$D,4,FALSE)</f>
        <v>4</v>
      </c>
      <c r="J771" t="str">
        <f>VLOOKUP(A771,[3]Sheet1!$A:$C,2,FALSE)</f>
        <v>AUTO</v>
      </c>
      <c r="K771" t="str">
        <f>VLOOKUP(A771,[3]Sheet1!$A:$C,3,FALSE)</f>
        <v>ALL</v>
      </c>
    </row>
    <row r="772" spans="1:11" x14ac:dyDescent="0.25">
      <c r="A772" s="2" t="s">
        <v>775</v>
      </c>
      <c r="B772">
        <v>38</v>
      </c>
      <c r="C772" t="s">
        <v>7</v>
      </c>
      <c r="D772" t="str">
        <f>VLOOKUP(A772,[1]Sheet1!$A:$D,2,FALSE)</f>
        <v>SIEMENS</v>
      </c>
      <c r="E772" t="str">
        <f>VLOOKUP(A772,[1]Sheet1!$A:$D,3,FALSE)</f>
        <v>Avanto</v>
      </c>
      <c r="F772">
        <f>VLOOKUP(A772,[1]Sheet1!$A:$D,4,FALSE)</f>
        <v>1.5</v>
      </c>
      <c r="G772">
        <f>VLOOKUP(A772,[2]Sheet1!$A:$D,2,FALSE)</f>
        <v>1</v>
      </c>
      <c r="H772">
        <f>VLOOKUP(A772,[2]Sheet1!$A:$D,3,FALSE)</f>
        <v>0</v>
      </c>
      <c r="I772">
        <f>VLOOKUP(A772,[2]Sheet1!$A:$D,4,FALSE)</f>
        <v>3</v>
      </c>
      <c r="J772" t="str">
        <f>VLOOKUP(A772,[3]Sheet1!$A:$C,2,FALSE)</f>
        <v>AUTO</v>
      </c>
      <c r="K772" t="str">
        <f>VLOOKUP(A772,[3]Sheet1!$A:$C,3,FALSE)</f>
        <v>ALL</v>
      </c>
    </row>
    <row r="773" spans="1:11" x14ac:dyDescent="0.25">
      <c r="A773" s="2" t="s">
        <v>776</v>
      </c>
      <c r="B773">
        <v>64</v>
      </c>
      <c r="C773" t="s">
        <v>7</v>
      </c>
      <c r="D773" t="str">
        <f>VLOOKUP(A773,[1]Sheet1!$A:$D,2,FALSE)</f>
        <v>GE MEDICAL SYSTEMS</v>
      </c>
      <c r="E773" t="str">
        <f>VLOOKUP(A773,[1]Sheet1!$A:$D,3,FALSE)</f>
        <v>DISCOVERY MR450</v>
      </c>
      <c r="F773">
        <f>VLOOKUP(A773,[1]Sheet1!$A:$D,4,FALSE)</f>
        <v>1.5</v>
      </c>
      <c r="G773">
        <f>VLOOKUP(A773,[2]Sheet1!$A:$D,2,FALSE)</f>
        <v>0</v>
      </c>
      <c r="H773">
        <f>VLOOKUP(A773,[2]Sheet1!$A:$D,3,FALSE)</f>
        <v>0</v>
      </c>
      <c r="I773">
        <f>VLOOKUP(A773,[2]Sheet1!$A:$D,4,FALSE)</f>
        <v>2</v>
      </c>
      <c r="J773" t="str">
        <f>VLOOKUP(A773,[3]Sheet1!$A:$C,2,FALSE)</f>
        <v>AUTO</v>
      </c>
      <c r="K773" t="str">
        <f>VLOOKUP(A773,[3]Sheet1!$A:$C,3,FALSE)</f>
        <v>ALL</v>
      </c>
    </row>
    <row r="774" spans="1:11" x14ac:dyDescent="0.25">
      <c r="A774" s="2" t="s">
        <v>777</v>
      </c>
      <c r="B774">
        <v>36</v>
      </c>
      <c r="C774" t="s">
        <v>4</v>
      </c>
      <c r="D774" t="str">
        <f>VLOOKUP(A774,[1]Sheet1!$A:$D,2,FALSE)</f>
        <v>Philips Medical Systems</v>
      </c>
      <c r="E774" t="str">
        <f>VLOOKUP(A774,[1]Sheet1!$A:$D,3,FALSE)</f>
        <v>Achieva</v>
      </c>
      <c r="F774">
        <f>VLOOKUP(A774,[1]Sheet1!$A:$D,4,FALSE)</f>
        <v>1.5</v>
      </c>
      <c r="G774">
        <f>VLOOKUP(A774,[2]Sheet1!$A:$D,2,FALSE)</f>
        <v>1</v>
      </c>
      <c r="H774">
        <f>VLOOKUP(A774,[2]Sheet1!$A:$D,3,FALSE)</f>
        <v>0</v>
      </c>
      <c r="I774">
        <f>VLOOKUP(A774,[2]Sheet1!$A:$D,4,FALSE)</f>
        <v>3</v>
      </c>
      <c r="J774" t="str">
        <f>VLOOKUP(A774,[3]Sheet1!$A:$C,2,FALSE)</f>
        <v>OBS1</v>
      </c>
      <c r="K774" t="str">
        <f>VLOOKUP(A774,[3]Sheet1!$A:$C,3,FALSE)</f>
        <v>FLAIR</v>
      </c>
    </row>
    <row r="775" spans="1:11" x14ac:dyDescent="0.25">
      <c r="A775" s="2" t="s">
        <v>778</v>
      </c>
      <c r="B775">
        <v>59</v>
      </c>
      <c r="C775" t="s">
        <v>7</v>
      </c>
      <c r="D775" t="str">
        <f>VLOOKUP(A775,[1]Sheet1!$A:$D,2,FALSE)</f>
        <v>Philips Medical Systems</v>
      </c>
      <c r="E775" t="str">
        <f>VLOOKUP(A775,[1]Sheet1!$A:$D,3,FALSE)</f>
        <v>Intera</v>
      </c>
      <c r="F775">
        <f>VLOOKUP(A775,[1]Sheet1!$A:$D,4,FALSE)</f>
        <v>1.5</v>
      </c>
      <c r="G775">
        <f>VLOOKUP(A775,[2]Sheet1!$A:$D,2,FALSE)</f>
        <v>-1</v>
      </c>
      <c r="H775">
        <f>VLOOKUP(A775,[2]Sheet1!$A:$D,3,FALSE)</f>
        <v>-1</v>
      </c>
      <c r="I775">
        <f>VLOOKUP(A775,[2]Sheet1!$A:$D,4,FALSE)</f>
        <v>4</v>
      </c>
      <c r="J775" t="str">
        <f>VLOOKUP(A775,[3]Sheet1!$A:$C,2,FALSE)</f>
        <v>AUTO</v>
      </c>
      <c r="K775" t="str">
        <f>VLOOKUP(A775,[3]Sheet1!$A:$C,3,FALSE)</f>
        <v>ALL</v>
      </c>
    </row>
  </sheetData>
  <autoFilter ref="A1:C775" xr:uid="{00000000-0009-0000-0000-000000000000}"/>
  <pageMargins left="0.75" right="0.75" top="1" bottom="1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Ramkumar Shanker</cp:lastModifiedBy>
  <cp:revision>2</cp:revision>
  <dcterms:created xsi:type="dcterms:W3CDTF">2021-02-16T08:52:49Z</dcterms:created>
  <dcterms:modified xsi:type="dcterms:W3CDTF">2026-04-07T02:56:31Z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